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hag\supabase-test\templates\"/>
    </mc:Choice>
  </mc:AlternateContent>
  <xr:revisionPtr revIDLastSave="0" documentId="13_ncr:1_{15482E8C-E3F1-44DC-9AFD-FCBE6600214D}" xr6:coauthVersionLast="47" xr6:coauthVersionMax="47" xr10:uidLastSave="{00000000-0000-0000-0000-000000000000}"/>
  <bookViews>
    <workbookView xWindow="-108" yWindow="-108" windowWidth="23256" windowHeight="12456" xr2:uid="{40AA3128-05CB-4C22-A070-C30BD8D2A3B4}"/>
  </bookViews>
  <sheets>
    <sheet name="請求書表" sheetId="1" r:id="rId1"/>
    <sheet name="請求書裏" sheetId="2" r:id="rId2"/>
  </sheets>
  <definedNames>
    <definedName name="_____xlnm.Print_Area_4">#REF!</definedName>
    <definedName name="_____xlnm.Print_Area_5">#REF!</definedName>
    <definedName name="____xlnm.Print_Area_1">#REF!</definedName>
    <definedName name="____xlnm.Print_Area_4">#REF!</definedName>
    <definedName name="____xlnm.Print_Area_5">#REF!</definedName>
    <definedName name="___xlnm.Print_Area_1">#REF!</definedName>
    <definedName name="___xlnm.Print_Area_4">#REF!</definedName>
    <definedName name="___xlnm.Print_Area_5">#REF!</definedName>
    <definedName name="__xlnm.Print_Area_1">#REF!</definedName>
    <definedName name="__xlnm.Print_Area_4">#REF!</definedName>
    <definedName name="__xlnm.Print_Area_5">#REF!</definedName>
    <definedName name="_xlnm._FilterDatabase" localSheetId="0" hidden="1">請求書表!$A$27:$K$36</definedName>
    <definedName name="_Regression_X" hidden="1">#REF!</definedName>
    <definedName name="aaaa" hidden="1">{"'TBLUNCUSTOMER_INFO'!$A$1:$K$19"}</definedName>
    <definedName name="aaaa1" hidden="1">{"'TBLUNCUSTOMER_INFO'!$A$1:$K$19"}</definedName>
    <definedName name="b" hidden="1">{"'TBLUNCUSTOMER_INFO'!$A$1:$K$19"}</definedName>
    <definedName name="bb" hidden="1">{"'TBLUNCUSTOMER_INFO'!$A$1:$K$19"}</definedName>
    <definedName name="ｂｂｂ" hidden="1">{"'TBLUNCUSTOMER_INFO'!$A$1:$K$19"}</definedName>
    <definedName name="bbbb" hidden="1">{"'TBLUNCUSTOMER_INFO'!$A$1:$K$19"}</definedName>
    <definedName name="bbbbb" hidden="1">{"'TBLUNCUSTOMER_INFO'!$A$1:$K$19"}</definedName>
    <definedName name="Ｄ" hidden="1">{"'TBLUNCUSTOMER_INFO'!$A$1:$K$19"}</definedName>
    <definedName name="ｄｄｄ" hidden="1">{"'TBLUNCUSTOMER_INFO'!$A$1:$K$19"}</definedName>
    <definedName name="HTML_CodePage" hidden="1">932</definedName>
    <definedName name="HTML_Control" hidden="1">{"'TBLUNCUSTOMER_INFO'!$A$1:$K$19"}</definedName>
    <definedName name="HTML_Description" hidden="1">""</definedName>
    <definedName name="HTML_Email" hidden="1">""</definedName>
    <definedName name="HTML_Header" hidden="1">"TBLUNMERCHANT_INFO"</definedName>
    <definedName name="HTML_LastUpdate" hidden="1">"99/09/21"</definedName>
    <definedName name="HTML_LineAfter" hidden="1">FALSE</definedName>
    <definedName name="HTML_LineBefore" hidden="1">FALSE</definedName>
    <definedName name="HTML_Name" hidden="1">"ＥＢ３ 玉井"</definedName>
    <definedName name="HTML_OBDlg2" hidden="1">TRUE</definedName>
    <definedName name="HTML_OBDlg4" hidden="1">TRUE</definedName>
    <definedName name="HTML_OS" hidden="1">0</definedName>
    <definedName name="HTML_PathFile" hidden="1">"K:\wwwroot\cti\TBLUNMERCHANT_INFO.htm"</definedName>
    <definedName name="HTML_Title" hidden="1">"TBLUNMERCHANT_INFO"</definedName>
    <definedName name="meisai">#N/A</definedName>
    <definedName name="q" hidden="1">{"'TBLUNCUSTOMER_INFO'!$A$1:$K$19"}</definedName>
    <definedName name="rypou">#REF!</definedName>
    <definedName name="ｓｓｓ" hidden="1">{"'TBLUNCUSTOMER_INFO'!$A$1:$K$19"}</definedName>
    <definedName name="ｘ" hidden="1">#REF!</definedName>
    <definedName name="あ" hidden="1">{"'TBLUNCUSTOMER_INFO'!$A$1:$K$19"}</definedName>
    <definedName name="エリア">#REF!</definedName>
    <definedName name="エリア１">#REF!</definedName>
    <definedName name="エリア2">#REF!</definedName>
    <definedName name="エリア４">#REF!</definedName>
    <definedName name="サイズ">#REF!</definedName>
    <definedName name="その他2" hidden="1">{"'TBLUNCUSTOMER_INFO'!$A$1:$K$19"}</definedName>
    <definedName name="運賃">#REF!</definedName>
    <definedName name="運賃２">#REF!</definedName>
    <definedName name="運賃３">#REF!</definedName>
    <definedName name="運賃４">#REF!</definedName>
    <definedName name="運賃５">#REF!</definedName>
    <definedName name="関連表" hidden="1">#REF!</definedName>
    <definedName name="個数">#REF!</definedName>
    <definedName name="広電向け運賃請求書">#REF!</definedName>
    <definedName name="住所Ｍ">#REF!</definedName>
    <definedName name="重量">#REF!</definedName>
    <definedName name="重量１">#REF!</definedName>
    <definedName name="商品リスト">#REF!</definedName>
    <definedName name="商品リスト1">#REF!</definedName>
    <definedName name="商品リスト3">#REF!</definedName>
    <definedName name="条件">#REF!</definedName>
    <definedName name="条件３">#REF!</definedName>
    <definedName name="条件４">#REF!</definedName>
    <definedName name="条件５">#REF!</definedName>
    <definedName name="適応">#REF!</definedName>
    <definedName name="都道府県">#REF!</definedName>
    <definedName name="入力ホーム">#REF!</definedName>
    <definedName name="保護領域">#REF!,#REF!,#REF!,#REF!,#REF!,#REF!,#REF!,#REF!,#REF!,#REF!,#REF!,#REF!,#REF!,#REF!,#REF!,#REF!</definedName>
    <definedName name="保護領域１">#REF!,#REF!,#REF!,#REF!,#REF!,#REF!,#REF!,#REF!,#REF!,#REF!,#REF!,#REF!,#REF!</definedName>
    <definedName name="保護領域２">#REF!,#REF!,#REF!,#REF!,#REF!,#REF!</definedName>
    <definedName name="保護領域S2の1">#REF!,#REF!,#REF!,#REF!,#REF!,#REF!,#REF!,#REF!,#REF!,#REF!,#REF!,#REF!,#REF!,#REF!,#REF!,#REF!,#REF!,#REF!,#REF!,#REF!,#REF!,#REF!,#REF!,#REF!,#REF!</definedName>
    <definedName name="料金">#REF!</definedName>
    <definedName name="料金１">#REF!</definedName>
    <definedName name="料金２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9" i="2" l="1"/>
  <c r="I68" i="2"/>
  <c r="J68" i="2" s="1"/>
  <c r="H68" i="2"/>
  <c r="F68" i="2"/>
  <c r="I67" i="2"/>
  <c r="J67" i="2" s="1"/>
  <c r="H67" i="2"/>
  <c r="F67" i="2"/>
  <c r="J66" i="2"/>
  <c r="I66" i="2"/>
  <c r="H66" i="2"/>
  <c r="F66" i="2"/>
  <c r="I65" i="2"/>
  <c r="J65" i="2" s="1"/>
  <c r="H65" i="2"/>
  <c r="F65" i="2"/>
  <c r="I64" i="2"/>
  <c r="J64" i="2" s="1"/>
  <c r="H64" i="2"/>
  <c r="F64" i="2"/>
  <c r="J63" i="2"/>
  <c r="I63" i="2"/>
  <c r="H63" i="2"/>
  <c r="F63" i="2"/>
  <c r="I62" i="2"/>
  <c r="J62" i="2" s="1"/>
  <c r="H62" i="2"/>
  <c r="F62" i="2"/>
  <c r="I61" i="2"/>
  <c r="J61" i="2" s="1"/>
  <c r="H61" i="2"/>
  <c r="F61" i="2"/>
  <c r="J60" i="2"/>
  <c r="I60" i="2"/>
  <c r="H60" i="2"/>
  <c r="F60" i="2"/>
  <c r="I59" i="2"/>
  <c r="J59" i="2" s="1"/>
  <c r="H59" i="2"/>
  <c r="F59" i="2"/>
  <c r="I58" i="2"/>
  <c r="J58" i="2" s="1"/>
  <c r="H58" i="2"/>
  <c r="F58" i="2"/>
  <c r="J57" i="2"/>
  <c r="I57" i="2"/>
  <c r="H57" i="2"/>
  <c r="F57" i="2"/>
  <c r="I56" i="2"/>
  <c r="J56" i="2" s="1"/>
  <c r="H56" i="2"/>
  <c r="F56" i="2"/>
  <c r="F69" i="2" s="1"/>
  <c r="C6" i="2" s="1"/>
  <c r="K5" i="2" s="1"/>
  <c r="H54" i="2"/>
  <c r="J53" i="2"/>
  <c r="H53" i="2"/>
  <c r="F53" i="2"/>
  <c r="J52" i="2"/>
  <c r="H52" i="2"/>
  <c r="F52" i="2"/>
  <c r="J51" i="2"/>
  <c r="H51" i="2"/>
  <c r="F51" i="2"/>
  <c r="J50" i="2"/>
  <c r="H50" i="2"/>
  <c r="F50" i="2"/>
  <c r="J49" i="2"/>
  <c r="H49" i="2"/>
  <c r="F49" i="2"/>
  <c r="J48" i="2"/>
  <c r="H48" i="2"/>
  <c r="F48" i="2"/>
  <c r="J47" i="2"/>
  <c r="H47" i="2"/>
  <c r="F47" i="2"/>
  <c r="J46" i="2"/>
  <c r="H46" i="2"/>
  <c r="F46" i="2"/>
  <c r="J45" i="2"/>
  <c r="H45" i="2"/>
  <c r="F45" i="2"/>
  <c r="J44" i="2"/>
  <c r="H44" i="2"/>
  <c r="F44" i="2"/>
  <c r="J43" i="2"/>
  <c r="H43" i="2"/>
  <c r="F43" i="2"/>
  <c r="J42" i="2"/>
  <c r="H42" i="2"/>
  <c r="E42" i="2"/>
  <c r="D42" i="2"/>
  <c r="F42" i="2" s="1"/>
  <c r="F54" i="2" s="1"/>
  <c r="C5" i="2" s="1"/>
  <c r="J5" i="2" s="1"/>
  <c r="C42" i="2"/>
  <c r="F41" i="2"/>
  <c r="E41" i="2"/>
  <c r="J41" i="2" s="1"/>
  <c r="J54" i="2" s="1"/>
  <c r="D5" i="2" s="1"/>
  <c r="D41" i="2"/>
  <c r="C41" i="2"/>
  <c r="H39" i="2"/>
  <c r="J38" i="2"/>
  <c r="H38" i="2"/>
  <c r="F38" i="2"/>
  <c r="J37" i="2"/>
  <c r="H37" i="2"/>
  <c r="F37" i="2"/>
  <c r="J36" i="2"/>
  <c r="H36" i="2"/>
  <c r="F36" i="2"/>
  <c r="J35" i="2"/>
  <c r="H35" i="2"/>
  <c r="F35" i="2"/>
  <c r="J34" i="2"/>
  <c r="H34" i="2"/>
  <c r="F34" i="2"/>
  <c r="J33" i="2"/>
  <c r="H33" i="2"/>
  <c r="F33" i="2"/>
  <c r="J32" i="2"/>
  <c r="H32" i="2"/>
  <c r="F32" i="2"/>
  <c r="H31" i="2"/>
  <c r="J31" i="2" s="1"/>
  <c r="F31" i="2"/>
  <c r="H30" i="2"/>
  <c r="J30" i="2" s="1"/>
  <c r="H29" i="2"/>
  <c r="J29" i="2" s="1"/>
  <c r="H28" i="2"/>
  <c r="J28" i="2" s="1"/>
  <c r="D28" i="2"/>
  <c r="F28" i="2" s="1"/>
  <c r="H27" i="2"/>
  <c r="J27" i="2" s="1"/>
  <c r="H26" i="2"/>
  <c r="J26" i="2" s="1"/>
  <c r="J39" i="2" s="1"/>
  <c r="D4" i="2" s="1"/>
  <c r="C26" i="2"/>
  <c r="F26" i="2" s="1"/>
  <c r="H24" i="2"/>
  <c r="J23" i="2"/>
  <c r="K23" i="2" s="1"/>
  <c r="H23" i="2"/>
  <c r="F23" i="2"/>
  <c r="G23" i="2" s="1"/>
  <c r="J22" i="2"/>
  <c r="K22" i="2" s="1"/>
  <c r="H22" i="2"/>
  <c r="F22" i="2"/>
  <c r="G22" i="2" s="1"/>
  <c r="J21" i="2"/>
  <c r="K21" i="2" s="1"/>
  <c r="H21" i="2"/>
  <c r="G21" i="2"/>
  <c r="F21" i="2"/>
  <c r="J20" i="2"/>
  <c r="K20" i="2" s="1"/>
  <c r="H20" i="2"/>
  <c r="G20" i="2"/>
  <c r="F20" i="2"/>
  <c r="J19" i="2"/>
  <c r="K19" i="2" s="1"/>
  <c r="H19" i="2"/>
  <c r="F19" i="2"/>
  <c r="G19" i="2" s="1"/>
  <c r="K18" i="2"/>
  <c r="J18" i="2"/>
  <c r="H18" i="2"/>
  <c r="G18" i="2"/>
  <c r="F18" i="2"/>
  <c r="K17" i="2"/>
  <c r="J17" i="2"/>
  <c r="H17" i="2"/>
  <c r="F17" i="2"/>
  <c r="G17" i="2" s="1"/>
  <c r="J16" i="2"/>
  <c r="K16" i="2" s="1"/>
  <c r="H16" i="2"/>
  <c r="G16" i="2"/>
  <c r="F16" i="2"/>
  <c r="K15" i="2"/>
  <c r="J15" i="2"/>
  <c r="H15" i="2"/>
  <c r="F15" i="2"/>
  <c r="G15" i="2" s="1"/>
  <c r="J14" i="2"/>
  <c r="K14" i="2" s="1"/>
  <c r="H14" i="2"/>
  <c r="F14" i="2"/>
  <c r="G14" i="2" s="1"/>
  <c r="H13" i="2"/>
  <c r="J13" i="2" s="1"/>
  <c r="K13" i="2" s="1"/>
  <c r="J12" i="2"/>
  <c r="K12" i="2" s="1"/>
  <c r="H12" i="2"/>
  <c r="F12" i="2"/>
  <c r="G12" i="2" s="1"/>
  <c r="K11" i="2"/>
  <c r="J11" i="2"/>
  <c r="H11" i="2"/>
  <c r="H10" i="2"/>
  <c r="J10" i="2" s="1"/>
  <c r="F10" i="2"/>
  <c r="C54" i="1"/>
  <c r="H52" i="1"/>
  <c r="H51" i="1"/>
  <c r="H50" i="1"/>
  <c r="H49" i="1"/>
  <c r="H48" i="1"/>
  <c r="H47" i="1"/>
  <c r="H38" i="1"/>
  <c r="D30" i="2" s="1"/>
  <c r="F30" i="2" s="1"/>
  <c r="H37" i="1"/>
  <c r="D29" i="2" s="1"/>
  <c r="F29" i="2" s="1"/>
  <c r="H36" i="1"/>
  <c r="H35" i="1"/>
  <c r="H34" i="1"/>
  <c r="H33" i="1"/>
  <c r="D13" i="2" s="1"/>
  <c r="F13" i="2" s="1"/>
  <c r="G13" i="2" s="1"/>
  <c r="H32" i="1"/>
  <c r="D27" i="2" s="1"/>
  <c r="F27" i="2" s="1"/>
  <c r="H31" i="1"/>
  <c r="B31" i="1"/>
  <c r="B32" i="1" s="1"/>
  <c r="B33" i="1" s="1"/>
  <c r="B34" i="1" s="1"/>
  <c r="B35" i="1" s="1"/>
  <c r="B36" i="1" s="1"/>
  <c r="B37" i="1" s="1"/>
  <c r="B38" i="1" s="1"/>
  <c r="H30" i="1"/>
  <c r="D11" i="2" s="1"/>
  <c r="F11" i="2" s="1"/>
  <c r="G11" i="2" s="1"/>
  <c r="H29" i="1"/>
  <c r="B29" i="1"/>
  <c r="H28" i="1"/>
  <c r="C18" i="1"/>
  <c r="G18" i="1" s="1"/>
  <c r="C17" i="1"/>
  <c r="G17" i="1" s="1"/>
  <c r="J2" i="1"/>
  <c r="J69" i="2" l="1"/>
  <c r="D6" i="2" s="1"/>
  <c r="F39" i="2"/>
  <c r="C4" i="2" s="1"/>
  <c r="I5" i="2" s="1"/>
  <c r="B14" i="1"/>
  <c r="F24" i="2"/>
  <c r="J24" i="2"/>
  <c r="K10" i="2"/>
  <c r="G10" i="2"/>
  <c r="D2" i="2" l="1"/>
  <c r="M5" i="2" s="1"/>
  <c r="K24" i="2"/>
  <c r="D3" i="2" s="1"/>
  <c r="G24" i="2"/>
  <c r="C3" i="2" s="1"/>
  <c r="H5" i="2" s="1"/>
  <c r="C2" i="2"/>
  <c r="H2" i="2"/>
  <c r="L5" i="2" l="1"/>
  <c r="G5" i="2"/>
  <c r="E6" i="2"/>
</calcChain>
</file>

<file path=xl/sharedStrings.xml><?xml version="1.0" encoding="utf-8"?>
<sst xmlns="http://schemas.openxmlformats.org/spreadsheetml/2006/main" count="162" uniqueCount="95">
  <si>
    <t>作成日</t>
    <rPh sb="0" eb="3">
      <t>サクセイビ</t>
    </rPh>
    <phoneticPr fontId="3"/>
  </si>
  <si>
    <t>請求書　(正)</t>
    <rPh sb="0" eb="3">
      <t>セイキュウショ</t>
    </rPh>
    <rPh sb="5" eb="6">
      <t>セイ</t>
    </rPh>
    <phoneticPr fontId="3"/>
  </si>
  <si>
    <t>請求書番号</t>
    <rPh sb="0" eb="3">
      <t>セイキュウショ</t>
    </rPh>
    <rPh sb="3" eb="5">
      <t>バンゴウ</t>
    </rPh>
    <phoneticPr fontId="3"/>
  </si>
  <si>
    <t>株式会社ビジネスラボ</t>
    <rPh sb="0" eb="4">
      <t>カブシキカイシャ</t>
    </rPh>
    <phoneticPr fontId="3"/>
  </si>
  <si>
    <t>〒103-0026</t>
    <phoneticPr fontId="3"/>
  </si>
  <si>
    <t>東京都中央区日本橋兜町17番2号 兜町第6葉山ビル4階</t>
    <rPh sb="0" eb="11">
      <t>トウキョウトチュウオウクニホンバシカブトチョウ</t>
    </rPh>
    <rPh sb="13" eb="14">
      <t>バン</t>
    </rPh>
    <rPh sb="15" eb="16">
      <t>ゴウ</t>
    </rPh>
    <phoneticPr fontId="3"/>
  </si>
  <si>
    <t>TEL: 03-6555-4496  FAX: 03-4496-4103</t>
    <phoneticPr fontId="3"/>
  </si>
  <si>
    <t>経理ご担当者様</t>
    <rPh sb="0" eb="2">
      <t>ケイリ</t>
    </rPh>
    <rPh sb="3" eb="7">
      <t>タントウシャサマ</t>
    </rPh>
    <phoneticPr fontId="3"/>
  </si>
  <si>
    <t>登録番号：T7010003027314</t>
    <rPh sb="0" eb="2">
      <t>トウロク</t>
    </rPh>
    <rPh sb="2" eb="4">
      <t>バンゴウ</t>
    </rPh>
    <phoneticPr fontId="3"/>
  </si>
  <si>
    <t>いつもご利用いただき、誠にありがとうございます。下記の通りご請求申し上げます。</t>
    <rPh sb="4" eb="6">
      <t>リヨウ</t>
    </rPh>
    <rPh sb="11" eb="12">
      <t>マコト</t>
    </rPh>
    <rPh sb="24" eb="26">
      <t>カキ</t>
    </rPh>
    <rPh sb="27" eb="28">
      <t>トオ</t>
    </rPh>
    <rPh sb="30" eb="32">
      <t>セイキュウ</t>
    </rPh>
    <rPh sb="32" eb="33">
      <t>モウ</t>
    </rPh>
    <rPh sb="34" eb="35">
      <t>ア</t>
    </rPh>
    <phoneticPr fontId="3"/>
  </si>
  <si>
    <t>合計</t>
    <rPh sb="0" eb="2">
      <t>ゴウケイ</t>
    </rPh>
    <phoneticPr fontId="3"/>
  </si>
  <si>
    <t>10%対象</t>
    <rPh sb="3" eb="5">
      <t>タイショウ</t>
    </rPh>
    <phoneticPr fontId="3"/>
  </si>
  <si>
    <t>10%消費税</t>
    <rPh sb="3" eb="6">
      <t>ショウヒゼイ</t>
    </rPh>
    <phoneticPr fontId="3"/>
  </si>
  <si>
    <t>8%対象</t>
    <rPh sb="2" eb="4">
      <t>タイショウ</t>
    </rPh>
    <phoneticPr fontId="3"/>
  </si>
  <si>
    <t>8%消費税</t>
    <rPh sb="2" eb="5">
      <t>ショウヒゼイ</t>
    </rPh>
    <phoneticPr fontId="3"/>
  </si>
  <si>
    <t>作業名</t>
    <rPh sb="0" eb="2">
      <t>サギョウ</t>
    </rPh>
    <rPh sb="2" eb="3">
      <t>メイ</t>
    </rPh>
    <phoneticPr fontId="3"/>
  </si>
  <si>
    <t>海上輸入</t>
    <rPh sb="0" eb="2">
      <t>カイジョウ</t>
    </rPh>
    <rPh sb="2" eb="4">
      <t>ユニュウ</t>
    </rPh>
    <phoneticPr fontId="3"/>
  </si>
  <si>
    <t>INVOICE NO.</t>
  </si>
  <si>
    <t>積地</t>
    <rPh sb="0" eb="2">
      <t>ツミチ</t>
    </rPh>
    <phoneticPr fontId="3"/>
  </si>
  <si>
    <t>個数</t>
    <rPh sb="0" eb="2">
      <t>コスウ</t>
    </rPh>
    <phoneticPr fontId="3"/>
  </si>
  <si>
    <t>仕向地</t>
    <rPh sb="0" eb="3">
      <t>シムケチ</t>
    </rPh>
    <phoneticPr fontId="3"/>
  </si>
  <si>
    <t>重量</t>
    <rPh sb="0" eb="2">
      <t>ジュウリョウ</t>
    </rPh>
    <phoneticPr fontId="3"/>
  </si>
  <si>
    <t>便名</t>
    <rPh sb="0" eb="2">
      <t>ビンメイ</t>
    </rPh>
    <phoneticPr fontId="3"/>
  </si>
  <si>
    <t>容積</t>
    <rPh sb="0" eb="2">
      <t>ヨウセキ</t>
    </rPh>
    <phoneticPr fontId="3"/>
  </si>
  <si>
    <t>ETA</t>
    <phoneticPr fontId="3"/>
  </si>
  <si>
    <t>備考</t>
    <rPh sb="0" eb="2">
      <t>ビコウ</t>
    </rPh>
    <phoneticPr fontId="3"/>
  </si>
  <si>
    <t>2月3日AM横浜市神奈川区納品</t>
    <rPh sb="1" eb="2">
      <t>ガツ</t>
    </rPh>
    <rPh sb="3" eb="4">
      <t>ニチ</t>
    </rPh>
    <rPh sb="6" eb="13">
      <t>ヨコハマシカナガワク</t>
    </rPh>
    <rPh sb="13" eb="14">
      <t>オサメ</t>
    </rPh>
    <phoneticPr fontId="3"/>
  </si>
  <si>
    <t>BL NO.</t>
  </si>
  <si>
    <t>日付</t>
    <rPh sb="0" eb="2">
      <t>ヒヅケ</t>
    </rPh>
    <phoneticPr fontId="3"/>
  </si>
  <si>
    <t>項目</t>
    <rPh sb="0" eb="2">
      <t>コウモク</t>
    </rPh>
    <phoneticPr fontId="3"/>
  </si>
  <si>
    <t>数量</t>
    <rPh sb="0" eb="2">
      <t>スウリョウ</t>
    </rPh>
    <phoneticPr fontId="3"/>
  </si>
  <si>
    <t>単価</t>
    <rPh sb="0" eb="2">
      <t>タンカ</t>
    </rPh>
    <phoneticPr fontId="3"/>
  </si>
  <si>
    <t>総額</t>
    <rPh sb="0" eb="2">
      <t>ソウガク</t>
    </rPh>
    <phoneticPr fontId="3"/>
  </si>
  <si>
    <t>税区分</t>
    <rPh sb="0" eb="3">
      <t>ゼイクブン</t>
    </rPh>
    <phoneticPr fontId="3"/>
  </si>
  <si>
    <t>輸入通関料</t>
    <rPh sb="0" eb="2">
      <t>ユニュウ</t>
    </rPh>
    <rPh sb="2" eb="5">
      <t>ツウカンリョウ</t>
    </rPh>
    <phoneticPr fontId="3"/>
  </si>
  <si>
    <t>葉</t>
    <rPh sb="0" eb="1">
      <t>ヨウ</t>
    </rPh>
    <phoneticPr fontId="3"/>
  </si>
  <si>
    <t>非課税</t>
  </si>
  <si>
    <t>3欄＝2葉</t>
    <rPh sb="1" eb="2">
      <t>ラン</t>
    </rPh>
    <rPh sb="4" eb="5">
      <t>ヨウ</t>
    </rPh>
    <phoneticPr fontId="3"/>
  </si>
  <si>
    <t>取扱料</t>
    <rPh sb="0" eb="2">
      <t>トリアツカイ</t>
    </rPh>
    <rPh sb="2" eb="3">
      <t>リョウ</t>
    </rPh>
    <phoneticPr fontId="3"/>
  </si>
  <si>
    <t>件</t>
    <rPh sb="0" eb="1">
      <t>ケン</t>
    </rPh>
    <phoneticPr fontId="3"/>
  </si>
  <si>
    <t>10%課税</t>
  </si>
  <si>
    <t>コンテナドレージ</t>
  </si>
  <si>
    <t>40HQ</t>
    <phoneticPr fontId="3"/>
  </si>
  <si>
    <t>　</t>
  </si>
  <si>
    <t>お支払いは、</t>
    <rPh sb="1" eb="3">
      <t>シハラ</t>
    </rPh>
    <phoneticPr fontId="3"/>
  </si>
  <si>
    <t>までに、下記銀行口座までお振込下さいますよう、お願い申し上げます。</t>
    <rPh sb="4" eb="6">
      <t>カキ</t>
    </rPh>
    <rPh sb="6" eb="8">
      <t>ギンコウ</t>
    </rPh>
    <rPh sb="8" eb="10">
      <t>コウザ</t>
    </rPh>
    <rPh sb="13" eb="16">
      <t>フリコミクダ</t>
    </rPh>
    <rPh sb="24" eb="25">
      <t>ネガ</t>
    </rPh>
    <rPh sb="26" eb="27">
      <t>モウ</t>
    </rPh>
    <rPh sb="28" eb="29">
      <t>ア</t>
    </rPh>
    <phoneticPr fontId="3"/>
  </si>
  <si>
    <t>また誠に恐れ入りますが、振込手数料はご負担頂きます様、お願い申し上げます。</t>
    <rPh sb="2" eb="3">
      <t>マコト</t>
    </rPh>
    <rPh sb="4" eb="5">
      <t>オソ</t>
    </rPh>
    <rPh sb="6" eb="7">
      <t>イ</t>
    </rPh>
    <rPh sb="12" eb="14">
      <t>フリコミ</t>
    </rPh>
    <rPh sb="14" eb="17">
      <t>テスウリョウ</t>
    </rPh>
    <rPh sb="19" eb="22">
      <t>フタンイタダ</t>
    </rPh>
    <rPh sb="25" eb="26">
      <t>ヨウ</t>
    </rPh>
    <rPh sb="28" eb="29">
      <t>ネガ</t>
    </rPh>
    <rPh sb="30" eb="31">
      <t>モウ</t>
    </rPh>
    <rPh sb="32" eb="33">
      <t>ア</t>
    </rPh>
    <phoneticPr fontId="3"/>
  </si>
  <si>
    <t>取引銀行</t>
    <rPh sb="0" eb="2">
      <t>トリヒキ</t>
    </rPh>
    <rPh sb="2" eb="4">
      <t>ギンコウ</t>
    </rPh>
    <phoneticPr fontId="3"/>
  </si>
  <si>
    <t>三井住友銀行　日本橋東支店　普通 7828377 ｶ)ﾋﾞｼﾞﾈｽﾗﾎﾞ</t>
    <rPh sb="0" eb="6">
      <t>ミツイスミトモギンコウ</t>
    </rPh>
    <rPh sb="7" eb="13">
      <t>ニホンバシヒガシシテン</t>
    </rPh>
    <rPh sb="14" eb="16">
      <t>フツウ</t>
    </rPh>
    <phoneticPr fontId="3"/>
  </si>
  <si>
    <t>売上</t>
    <rPh sb="0" eb="2">
      <t>ウリアゲ</t>
    </rPh>
    <phoneticPr fontId="3"/>
  </si>
  <si>
    <t>仕入</t>
    <rPh sb="0" eb="2">
      <t>シイレ</t>
    </rPh>
    <phoneticPr fontId="3"/>
  </si>
  <si>
    <t>科目</t>
    <rPh sb="0" eb="2">
      <t>カモク</t>
    </rPh>
    <phoneticPr fontId="3"/>
  </si>
  <si>
    <t>正誤判定</t>
    <rPh sb="0" eb="2">
      <t>セイゴ</t>
    </rPh>
    <rPh sb="2" eb="4">
      <t>ハンテイ</t>
    </rPh>
    <phoneticPr fontId="3"/>
  </si>
  <si>
    <t>課税(消費税抜)</t>
    <rPh sb="0" eb="2">
      <t>カゼイ</t>
    </rPh>
    <rPh sb="3" eb="6">
      <t>ショウヒゼイ</t>
    </rPh>
    <rPh sb="6" eb="7">
      <t>ヌ</t>
    </rPh>
    <phoneticPr fontId="3"/>
  </si>
  <si>
    <t>合計金額</t>
    <rPh sb="0" eb="2">
      <t>ゴウケイ</t>
    </rPh>
    <rPh sb="2" eb="4">
      <t>キンガク</t>
    </rPh>
    <phoneticPr fontId="3"/>
  </si>
  <si>
    <t>課税(消費税額)</t>
    <rPh sb="0" eb="2">
      <t>カゼイ</t>
    </rPh>
    <rPh sb="3" eb="6">
      <t>ショウヒゼイ</t>
    </rPh>
    <rPh sb="6" eb="7">
      <t>ガク</t>
    </rPh>
    <phoneticPr fontId="3"/>
  </si>
  <si>
    <t>非課税</t>
    <rPh sb="0" eb="3">
      <t>ヒカゼイ</t>
    </rPh>
    <phoneticPr fontId="3"/>
  </si>
  <si>
    <t>課税</t>
    <rPh sb="0" eb="2">
      <t>カゼイ</t>
    </rPh>
    <phoneticPr fontId="3"/>
  </si>
  <si>
    <t>消費税</t>
    <rPh sb="0" eb="3">
      <t>ショウヒゼイ</t>
    </rPh>
    <phoneticPr fontId="3"/>
  </si>
  <si>
    <t>対象外</t>
    <rPh sb="0" eb="3">
      <t>タイショウガイ</t>
    </rPh>
    <phoneticPr fontId="3"/>
  </si>
  <si>
    <t>立替</t>
    <rPh sb="0" eb="2">
      <t>タテカエ</t>
    </rPh>
    <phoneticPr fontId="3"/>
  </si>
  <si>
    <t>請求合計</t>
    <rPh sb="0" eb="2">
      <t>セイキュウ</t>
    </rPh>
    <rPh sb="2" eb="4">
      <t>ゴウケイ</t>
    </rPh>
    <phoneticPr fontId="3"/>
  </si>
  <si>
    <t>下払い合計</t>
    <rPh sb="0" eb="1">
      <t>シタ</t>
    </rPh>
    <rPh sb="1" eb="2">
      <t>バラ</t>
    </rPh>
    <rPh sb="3" eb="5">
      <t>ゴウケイ</t>
    </rPh>
    <phoneticPr fontId="3"/>
  </si>
  <si>
    <t>粗利</t>
    <rPh sb="0" eb="2">
      <t>アラリ</t>
    </rPh>
    <phoneticPr fontId="3"/>
  </si>
  <si>
    <t>立替金</t>
    <rPh sb="0" eb="3">
      <t>タテカエキン</t>
    </rPh>
    <phoneticPr fontId="3"/>
  </si>
  <si>
    <t>請求項目</t>
    <rPh sb="0" eb="2">
      <t>セイキュウ</t>
    </rPh>
    <rPh sb="2" eb="4">
      <t>コウモク</t>
    </rPh>
    <phoneticPr fontId="3"/>
  </si>
  <si>
    <t>請求単価</t>
    <rPh sb="0" eb="2">
      <t>セイキュウ</t>
    </rPh>
    <rPh sb="2" eb="4">
      <t>タンカ</t>
    </rPh>
    <phoneticPr fontId="3"/>
  </si>
  <si>
    <t>請求金額</t>
    <rPh sb="0" eb="2">
      <t>セイキュウ</t>
    </rPh>
    <rPh sb="2" eb="4">
      <t>キンガク</t>
    </rPh>
    <phoneticPr fontId="3"/>
  </si>
  <si>
    <t>税額</t>
    <rPh sb="0" eb="2">
      <t>ゼイガク</t>
    </rPh>
    <phoneticPr fontId="3"/>
  </si>
  <si>
    <t>仕入単価</t>
    <rPh sb="0" eb="2">
      <t>シイレ</t>
    </rPh>
    <rPh sb="2" eb="4">
      <t>タンカ</t>
    </rPh>
    <phoneticPr fontId="3"/>
  </si>
  <si>
    <t>仕入金額</t>
    <rPh sb="0" eb="2">
      <t>シイレ</t>
    </rPh>
    <rPh sb="2" eb="4">
      <t>キンガク</t>
    </rPh>
    <phoneticPr fontId="3"/>
  </si>
  <si>
    <t>仕入先</t>
    <rPh sb="0" eb="2">
      <t>シイレ</t>
    </rPh>
    <rPh sb="2" eb="3">
      <t>サキ</t>
    </rPh>
    <phoneticPr fontId="3"/>
  </si>
  <si>
    <t>支払期日</t>
    <rPh sb="0" eb="2">
      <t>シハライ</t>
    </rPh>
    <rPh sb="2" eb="4">
      <t>キジツ</t>
    </rPh>
    <phoneticPr fontId="3"/>
  </si>
  <si>
    <t>課税項目</t>
    <rPh sb="0" eb="2">
      <t>カゼイ</t>
    </rPh>
    <rPh sb="2" eb="4">
      <t>コウモク</t>
    </rPh>
    <phoneticPr fontId="3"/>
  </si>
  <si>
    <t>天行株式会社</t>
    <rPh sb="0" eb="6">
      <t>テンコウカブシキカイシャ</t>
    </rPh>
    <phoneticPr fontId="3"/>
  </si>
  <si>
    <t>TM002313</t>
  </si>
  <si>
    <t>東方国際物流株式会社</t>
    <rPh sb="0" eb="10">
      <t>トウホウコクサイブツリュウカブシキカイシャ</t>
    </rPh>
    <phoneticPr fontId="3"/>
  </si>
  <si>
    <t>2/3</t>
    <phoneticPr fontId="3"/>
  </si>
  <si>
    <t>D/O FEE</t>
  </si>
  <si>
    <t>BL FEE</t>
    <phoneticPr fontId="3"/>
  </si>
  <si>
    <t>非課税項目</t>
    <rPh sb="0" eb="3">
      <t>ヒカゼイ</t>
    </rPh>
    <rPh sb="3" eb="5">
      <t>コウモク</t>
    </rPh>
    <phoneticPr fontId="3"/>
  </si>
  <si>
    <t>仕入単価</t>
    <rPh sb="0" eb="2">
      <t>シイ</t>
    </rPh>
    <rPh sb="2" eb="4">
      <t>タンカ</t>
    </rPh>
    <phoneticPr fontId="3"/>
  </si>
  <si>
    <t>仕入金額</t>
    <rPh sb="0" eb="2">
      <t>シイ</t>
    </rPh>
    <rPh sb="2" eb="4">
      <t>キンガク</t>
    </rPh>
    <phoneticPr fontId="3"/>
  </si>
  <si>
    <t>仕入先</t>
    <rPh sb="0" eb="2">
      <t>シイ</t>
    </rPh>
    <rPh sb="2" eb="3">
      <t>サキ</t>
    </rPh>
    <phoneticPr fontId="3"/>
  </si>
  <si>
    <t>THC</t>
  </si>
  <si>
    <t>CIC</t>
    <phoneticPr fontId="3"/>
  </si>
  <si>
    <t>EQUIPMENT MANAGE</t>
  </si>
  <si>
    <t>CONGESTION SURCHARGE</t>
  </si>
  <si>
    <t>差額</t>
    <rPh sb="0" eb="2">
      <t>サガク</t>
    </rPh>
    <phoneticPr fontId="3"/>
  </si>
  <si>
    <t>対象外項目</t>
    <rPh sb="0" eb="3">
      <t>タイショウガイ</t>
    </rPh>
    <rPh sb="3" eb="5">
      <t>コウモク</t>
    </rPh>
    <phoneticPr fontId="3"/>
  </si>
  <si>
    <t>OCEAN FREIGHT</t>
  </si>
  <si>
    <t>JANCO INTERNATIONAL FREIGHT</t>
    <phoneticPr fontId="3"/>
  </si>
  <si>
    <t>ADHSC26010099B</t>
  </si>
  <si>
    <t>CONSOLI</t>
    <phoneticPr fontId="3"/>
  </si>
  <si>
    <t>立替金項目</t>
    <rPh sb="0" eb="3">
      <t>タテカエキン</t>
    </rPh>
    <rPh sb="3" eb="5">
      <t>コウモク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</si>
</sst>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¥&quot;#,##0;[Red]&quot;¥&quot;\-#,##0"/>
    <numFmt numFmtId="176" formatCode="&quot;¥&quot;#,##0;[Red]\-&quot;¥&quot;#,##0"/>
    <numFmt numFmtId="177" formatCode="0_);[Red]\(0\)"/>
    <numFmt numFmtId="178" formatCode="&quot;NO.&quot;##"/>
    <numFmt numFmtId="179" formatCode="#,##0.000_);[Red]\(#,##0.000\)"/>
    <numFmt numFmtId="180" formatCode="&quot;US$&quot;#,##0.00;[Red]\-&quot;US$&quot;#,##0.00"/>
    <numFmt numFmtId="181" formatCode="&quot;ex \&quot;###.#####0"/>
    <numFmt numFmtId="182" formatCode="&quot;ex \&quot;###.#0"/>
    <numFmt numFmtId="183" formatCode="0.000"/>
    <numFmt numFmtId="184" formatCode="[$-F800]dddd\,\ mmmm\ dd\,\ yyyy"/>
    <numFmt numFmtId="185" formatCode="0.000_);[Red]\(0.000\)"/>
    <numFmt numFmtId="186" formatCode="#,##0.000;[Red]\-#,##0.000"/>
    <numFmt numFmtId="187" formatCode="&quot;¥&quot;###,###&quot;-&quot;"/>
    <numFmt numFmtId="188" formatCode="#,##0.000"/>
    <numFmt numFmtId="189" formatCode="&quot;¥&quot;###,###.00&quot;-&quot;"/>
    <numFmt numFmtId="191" formatCode="m&quot;月&quot;d&quot;日&quot;;@"/>
  </numFmts>
  <fonts count="2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Yu Gothic Medium"/>
      <family val="2"/>
      <charset val="128"/>
    </font>
    <font>
      <sz val="6"/>
      <name val="游ゴシック"/>
      <family val="2"/>
      <charset val="128"/>
      <scheme val="minor"/>
    </font>
    <font>
      <sz val="9"/>
      <color theme="1"/>
      <name val="Yu Gothic Medium"/>
      <family val="3"/>
      <charset val="128"/>
    </font>
    <font>
      <b/>
      <sz val="14"/>
      <name val="Yu Gothic Medium"/>
      <family val="3"/>
      <charset val="128"/>
    </font>
    <font>
      <sz val="9"/>
      <name val="Yu Gothic Medium"/>
      <family val="3"/>
      <charset val="128"/>
    </font>
    <font>
      <b/>
      <sz val="9"/>
      <name val="Yu Gothic Medium"/>
      <family val="3"/>
      <charset val="128"/>
    </font>
    <font>
      <sz val="10"/>
      <color theme="1"/>
      <name val="Yu Gothic Medium"/>
      <family val="3"/>
      <charset val="128"/>
    </font>
    <font>
      <sz val="8"/>
      <color theme="1"/>
      <name val="Yu Gothic Medium"/>
      <family val="3"/>
      <charset val="128"/>
    </font>
    <font>
      <b/>
      <sz val="14"/>
      <color theme="1"/>
      <name val="HGS創英角ｺﾞｼｯｸUB"/>
      <family val="3"/>
      <charset val="128"/>
    </font>
    <font>
      <b/>
      <sz val="8"/>
      <color theme="1"/>
      <name val="Yu Gothic Medium"/>
      <family val="3"/>
      <charset val="128"/>
    </font>
    <font>
      <b/>
      <sz val="10"/>
      <name val="游ゴシック Medium"/>
      <family val="3"/>
      <charset val="128"/>
    </font>
    <font>
      <sz val="14"/>
      <color theme="1"/>
      <name val="游ゴシック Medium"/>
      <family val="3"/>
      <charset val="128"/>
    </font>
    <font>
      <sz val="11"/>
      <color theme="1"/>
      <name val="游ゴシック Medium"/>
      <family val="3"/>
      <charset val="128"/>
    </font>
    <font>
      <sz val="8"/>
      <color theme="1"/>
      <name val="游ゴシック Medium"/>
      <family val="3"/>
      <charset val="128"/>
    </font>
    <font>
      <b/>
      <sz val="10"/>
      <color theme="1"/>
      <name val="游ゴシック Medium"/>
      <family val="3"/>
      <charset val="128"/>
    </font>
    <font>
      <sz val="10"/>
      <color theme="1"/>
      <name val="游ゴシック Medium"/>
      <family val="3"/>
      <charset val="128"/>
    </font>
    <font>
      <sz val="6"/>
      <color theme="1"/>
      <name val="Yu Gothic Medium"/>
      <family val="3"/>
      <charset val="128"/>
    </font>
    <font>
      <b/>
      <sz val="8"/>
      <color theme="1"/>
      <name val="Yu Gothic Medium"/>
      <family val="2"/>
      <charset val="128"/>
    </font>
    <font>
      <b/>
      <sz val="8"/>
      <color theme="0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name val="游ゴシック"/>
      <family val="3"/>
      <charset val="128"/>
      <scheme val="minor"/>
    </font>
    <font>
      <b/>
      <sz val="8"/>
      <color theme="1"/>
      <name val="游ゴシック"/>
      <family val="3"/>
      <charset val="128"/>
      <scheme val="minor"/>
    </font>
    <font>
      <b/>
      <u/>
      <sz val="8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CDC6"/>
        <bgColor indexed="64"/>
      </patternFill>
    </fill>
    <fill>
      <patternFill patternType="solid">
        <fgColor theme="1" tint="0.49998474074526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6" fillId="2" borderId="0" xfId="0" applyFont="1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176" fontId="14" fillId="0" borderId="0" xfId="3" applyFont="1" applyFill="1" applyBorder="1" applyAlignment="1">
      <alignment vertical="center"/>
    </xf>
    <xf numFmtId="176" fontId="14" fillId="0" borderId="0" xfId="0" applyNumberFormat="1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2" borderId="10" xfId="0" applyFont="1" applyFill="1" applyBorder="1" applyAlignment="1">
      <alignment horizontal="right" vertical="center"/>
    </xf>
    <xf numFmtId="0" fontId="16" fillId="2" borderId="13" xfId="0" applyFont="1" applyFill="1" applyBorder="1" applyAlignment="1">
      <alignment horizontal="right" vertical="center"/>
    </xf>
    <xf numFmtId="0" fontId="9" fillId="0" borderId="4" xfId="0" applyFont="1" applyBorder="1">
      <alignment vertical="center"/>
    </xf>
    <xf numFmtId="0" fontId="9" fillId="0" borderId="5" xfId="0" applyFont="1" applyBorder="1">
      <alignment vertical="center"/>
    </xf>
    <xf numFmtId="0" fontId="9" fillId="0" borderId="5" xfId="0" quotePrefix="1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>
      <alignment vertical="center"/>
    </xf>
    <xf numFmtId="0" fontId="9" fillId="0" borderId="16" xfId="0" applyFont="1" applyBorder="1">
      <alignment vertical="center"/>
    </xf>
    <xf numFmtId="0" fontId="9" fillId="0" borderId="17" xfId="0" applyFont="1" applyBorder="1">
      <alignment vertical="center"/>
    </xf>
    <xf numFmtId="56" fontId="9" fillId="0" borderId="0" xfId="0" applyNumberFormat="1" applyFont="1" applyAlignment="1">
      <alignment horizontal="left" vertical="center"/>
    </xf>
    <xf numFmtId="0" fontId="9" fillId="0" borderId="7" xfId="0" applyFont="1" applyBorder="1">
      <alignment vertical="center"/>
    </xf>
    <xf numFmtId="177" fontId="9" fillId="0" borderId="8" xfId="0" quotePrefix="1" applyNumberFormat="1" applyFont="1" applyBorder="1" applyAlignment="1">
      <alignment horizontal="left" vertical="center"/>
    </xf>
    <xf numFmtId="0" fontId="9" fillId="0" borderId="8" xfId="0" applyFont="1" applyBorder="1">
      <alignment vertical="center"/>
    </xf>
    <xf numFmtId="178" fontId="9" fillId="0" borderId="8" xfId="0" applyNumberFormat="1" applyFont="1" applyBorder="1" applyAlignment="1">
      <alignment horizontal="left" vertical="center"/>
    </xf>
    <xf numFmtId="31" fontId="9" fillId="0" borderId="8" xfId="0" applyNumberFormat="1" applyFont="1" applyBorder="1">
      <alignment vertical="center"/>
    </xf>
    <xf numFmtId="0" fontId="9" fillId="0" borderId="9" xfId="0" applyFont="1" applyBorder="1">
      <alignment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79" fontId="9" fillId="0" borderId="0" xfId="0" applyNumberFormat="1" applyFont="1">
      <alignment vertical="center"/>
    </xf>
    <xf numFmtId="176" fontId="9" fillId="0" borderId="0" xfId="3" applyFont="1" applyBorder="1">
      <alignment vertical="center"/>
    </xf>
    <xf numFmtId="0" fontId="9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176" fontId="9" fillId="0" borderId="0" xfId="3" applyFont="1" applyFill="1" applyBorder="1">
      <alignment vertical="center"/>
    </xf>
    <xf numFmtId="180" fontId="9" fillId="0" borderId="0" xfId="3" applyNumberFormat="1" applyFont="1" applyBorder="1">
      <alignment vertical="center"/>
    </xf>
    <xf numFmtId="181" fontId="18" fillId="0" borderId="0" xfId="0" applyNumberFormat="1" applyFont="1" applyAlignment="1">
      <alignment horizontal="left" vertical="center"/>
    </xf>
    <xf numFmtId="182" fontId="18" fillId="0" borderId="0" xfId="0" applyNumberFormat="1" applyFont="1" applyAlignment="1">
      <alignment horizontal="left" vertical="center"/>
    </xf>
    <xf numFmtId="183" fontId="9" fillId="0" borderId="0" xfId="0" applyNumberFormat="1" applyFont="1">
      <alignment vertical="center"/>
    </xf>
    <xf numFmtId="0" fontId="9" fillId="0" borderId="8" xfId="0" applyFont="1" applyBorder="1" applyAlignment="1">
      <alignment horizontal="center" vertical="center"/>
    </xf>
    <xf numFmtId="0" fontId="18" fillId="0" borderId="8" xfId="0" applyFont="1" applyBorder="1">
      <alignment vertical="center"/>
    </xf>
    <xf numFmtId="0" fontId="19" fillId="0" borderId="0" xfId="0" applyFont="1">
      <alignment vertical="center"/>
    </xf>
    <xf numFmtId="0" fontId="20" fillId="3" borderId="18" xfId="0" applyFont="1" applyFill="1" applyBorder="1" applyAlignment="1">
      <alignment horizontal="center" vertical="center"/>
    </xf>
    <xf numFmtId="185" fontId="20" fillId="3" borderId="18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184" fontId="21" fillId="0" borderId="0" xfId="0" applyNumberFormat="1" applyFont="1">
      <alignment vertical="center"/>
    </xf>
    <xf numFmtId="0" fontId="21" fillId="0" borderId="18" xfId="0" applyFont="1" applyBorder="1">
      <alignment vertical="center"/>
    </xf>
    <xf numFmtId="176" fontId="21" fillId="0" borderId="18" xfId="3" applyFont="1" applyBorder="1" applyAlignment="1">
      <alignment vertical="center"/>
    </xf>
    <xf numFmtId="176" fontId="21" fillId="0" borderId="0" xfId="3" applyFont="1" applyAlignment="1">
      <alignment vertical="center"/>
    </xf>
    <xf numFmtId="176" fontId="22" fillId="0" borderId="18" xfId="3" applyFont="1" applyBorder="1" applyAlignment="1">
      <alignment horizontal="center" vertical="center"/>
    </xf>
    <xf numFmtId="176" fontId="22" fillId="0" borderId="0" xfId="3" applyFont="1" applyBorder="1" applyAlignment="1">
      <alignment horizontal="center" vertical="center"/>
    </xf>
    <xf numFmtId="176" fontId="21" fillId="0" borderId="19" xfId="3" applyFont="1" applyBorder="1" applyAlignment="1">
      <alignment vertical="center"/>
    </xf>
    <xf numFmtId="176" fontId="20" fillId="3" borderId="18" xfId="3" applyFont="1" applyFill="1" applyBorder="1" applyAlignment="1">
      <alignment horizontal="center" vertical="center"/>
    </xf>
    <xf numFmtId="176" fontId="21" fillId="0" borderId="18" xfId="0" applyNumberFormat="1" applyFont="1" applyBorder="1">
      <alignment vertical="center"/>
    </xf>
    <xf numFmtId="6" fontId="23" fillId="0" borderId="20" xfId="2" applyFont="1" applyBorder="1" applyAlignment="1">
      <alignment vertical="center"/>
    </xf>
    <xf numFmtId="0" fontId="24" fillId="0" borderId="0" xfId="0" applyFont="1">
      <alignment vertical="center"/>
    </xf>
    <xf numFmtId="185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0" fillId="3" borderId="21" xfId="0" applyFont="1" applyFill="1" applyBorder="1" applyAlignment="1">
      <alignment horizontal="center" vertical="center"/>
    </xf>
    <xf numFmtId="185" fontId="20" fillId="3" borderId="22" xfId="1" applyNumberFormat="1" applyFont="1" applyFill="1" applyBorder="1" applyAlignment="1">
      <alignment horizontal="center" vertical="center"/>
    </xf>
    <xf numFmtId="0" fontId="20" fillId="3" borderId="22" xfId="0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184" fontId="20" fillId="3" borderId="24" xfId="0" applyNumberFormat="1" applyFont="1" applyFill="1" applyBorder="1" applyAlignment="1">
      <alignment horizontal="center" vertical="center"/>
    </xf>
    <xf numFmtId="0" fontId="25" fillId="0" borderId="25" xfId="0" applyFont="1" applyBorder="1">
      <alignment vertical="center"/>
    </xf>
    <xf numFmtId="185" fontId="21" fillId="0" borderId="26" xfId="1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26" xfId="0" applyFont="1" applyBorder="1">
      <alignment vertical="center"/>
    </xf>
    <xf numFmtId="176" fontId="21" fillId="0" borderId="26" xfId="3" applyFont="1" applyBorder="1">
      <alignment vertical="center"/>
    </xf>
    <xf numFmtId="0" fontId="21" fillId="0" borderId="27" xfId="0" applyFont="1" applyBorder="1">
      <alignment vertical="center"/>
    </xf>
    <xf numFmtId="184" fontId="21" fillId="0" borderId="28" xfId="0" applyNumberFormat="1" applyFont="1" applyBorder="1" applyAlignment="1">
      <alignment horizontal="center" vertical="center"/>
    </xf>
    <xf numFmtId="0" fontId="21" fillId="0" borderId="25" xfId="0" applyFont="1" applyBorder="1">
      <alignment vertical="center"/>
    </xf>
    <xf numFmtId="186" fontId="21" fillId="0" borderId="26" xfId="1" applyNumberFormat="1" applyFont="1" applyFill="1" applyBorder="1" applyAlignment="1">
      <alignment horizontal="center" vertical="center"/>
    </xf>
    <xf numFmtId="187" fontId="21" fillId="0" borderId="26" xfId="0" applyNumberFormat="1" applyFont="1" applyBorder="1" applyAlignment="1">
      <alignment horizontal="center" vertical="center"/>
    </xf>
    <xf numFmtId="187" fontId="21" fillId="0" borderId="26" xfId="0" applyNumberFormat="1" applyFont="1" applyBorder="1">
      <alignment vertical="center"/>
    </xf>
    <xf numFmtId="188" fontId="21" fillId="0" borderId="25" xfId="0" applyNumberFormat="1" applyFont="1" applyBorder="1">
      <alignment vertical="center"/>
    </xf>
    <xf numFmtId="176" fontId="21" fillId="0" borderId="26" xfId="3" applyFont="1" applyFill="1" applyBorder="1">
      <alignment vertical="center"/>
    </xf>
    <xf numFmtId="49" fontId="21" fillId="0" borderId="26" xfId="0" applyNumberFormat="1" applyFont="1" applyBorder="1">
      <alignment vertical="center"/>
    </xf>
    <xf numFmtId="187" fontId="21" fillId="0" borderId="29" xfId="0" applyNumberFormat="1" applyFont="1" applyBorder="1" applyAlignment="1">
      <alignment horizontal="center" vertical="center"/>
    </xf>
    <xf numFmtId="187" fontId="21" fillId="0" borderId="29" xfId="0" applyNumberFormat="1" applyFont="1" applyBorder="1">
      <alignment vertical="center"/>
    </xf>
    <xf numFmtId="0" fontId="21" fillId="0" borderId="30" xfId="0" applyFont="1" applyBorder="1">
      <alignment vertical="center"/>
    </xf>
    <xf numFmtId="186" fontId="21" fillId="0" borderId="31" xfId="1" applyNumberFormat="1" applyFont="1" applyFill="1" applyBorder="1" applyAlignment="1">
      <alignment horizontal="center" vertical="center"/>
    </xf>
    <xf numFmtId="187" fontId="21" fillId="0" borderId="31" xfId="0" applyNumberFormat="1" applyFont="1" applyBorder="1" applyAlignment="1">
      <alignment horizontal="center" vertical="center"/>
    </xf>
    <xf numFmtId="187" fontId="26" fillId="0" borderId="1" xfId="0" applyNumberFormat="1" applyFont="1" applyBorder="1" applyAlignment="1">
      <alignment horizontal="center" vertical="center"/>
    </xf>
    <xf numFmtId="187" fontId="21" fillId="2" borderId="20" xfId="0" applyNumberFormat="1" applyFont="1" applyFill="1" applyBorder="1">
      <alignment vertical="center"/>
    </xf>
    <xf numFmtId="187" fontId="21" fillId="2" borderId="3" xfId="0" applyNumberFormat="1" applyFont="1" applyFill="1" applyBorder="1">
      <alignment vertical="center"/>
    </xf>
    <xf numFmtId="188" fontId="21" fillId="0" borderId="30" xfId="0" applyNumberFormat="1" applyFont="1" applyBorder="1">
      <alignment vertical="center"/>
    </xf>
    <xf numFmtId="176" fontId="21" fillId="2" borderId="3" xfId="3" applyFont="1" applyFill="1" applyBorder="1">
      <alignment vertical="center"/>
    </xf>
    <xf numFmtId="0" fontId="21" fillId="0" borderId="32" xfId="0" applyFont="1" applyBorder="1">
      <alignment vertical="center"/>
    </xf>
    <xf numFmtId="0" fontId="21" fillId="0" borderId="31" xfId="0" applyFont="1" applyBorder="1">
      <alignment vertical="center"/>
    </xf>
    <xf numFmtId="184" fontId="21" fillId="0" borderId="33" xfId="0" applyNumberFormat="1" applyFont="1" applyBorder="1" applyAlignment="1">
      <alignment horizontal="center" vertical="center"/>
    </xf>
    <xf numFmtId="0" fontId="25" fillId="0" borderId="34" xfId="0" applyFont="1" applyBorder="1">
      <alignment vertical="center"/>
    </xf>
    <xf numFmtId="186" fontId="21" fillId="0" borderId="35" xfId="1" applyNumberFormat="1" applyFont="1" applyFill="1" applyBorder="1" applyAlignment="1">
      <alignment horizontal="center" vertical="center"/>
    </xf>
    <xf numFmtId="187" fontId="21" fillId="0" borderId="35" xfId="0" applyNumberFormat="1" applyFont="1" applyBorder="1" applyAlignment="1">
      <alignment horizontal="center" vertical="center"/>
    </xf>
    <xf numFmtId="187" fontId="21" fillId="0" borderId="35" xfId="0" applyNumberFormat="1" applyFont="1" applyBorder="1">
      <alignment vertical="center"/>
    </xf>
    <xf numFmtId="176" fontId="21" fillId="0" borderId="35" xfId="3" applyFont="1" applyBorder="1">
      <alignment vertical="center"/>
    </xf>
    <xf numFmtId="0" fontId="21" fillId="0" borderId="36" xfId="0" applyFont="1" applyBorder="1">
      <alignment vertical="center"/>
    </xf>
    <xf numFmtId="0" fontId="21" fillId="0" borderId="35" xfId="0" applyFont="1" applyBorder="1">
      <alignment vertical="center"/>
    </xf>
    <xf numFmtId="184" fontId="21" fillId="0" borderId="37" xfId="0" applyNumberFormat="1" applyFont="1" applyBorder="1" applyAlignment="1">
      <alignment horizontal="center" vertical="center"/>
    </xf>
    <xf numFmtId="187" fontId="21" fillId="0" borderId="9" xfId="0" applyNumberFormat="1" applyFont="1" applyBorder="1">
      <alignment vertical="center"/>
    </xf>
    <xf numFmtId="176" fontId="21" fillId="0" borderId="9" xfId="3" applyFont="1" applyBorder="1">
      <alignment vertical="center"/>
    </xf>
    <xf numFmtId="180" fontId="21" fillId="0" borderId="26" xfId="0" applyNumberFormat="1" applyFont="1" applyBorder="1" applyAlignment="1">
      <alignment horizontal="center" vertical="center"/>
    </xf>
    <xf numFmtId="189" fontId="21" fillId="0" borderId="26" xfId="0" applyNumberFormat="1" applyFont="1" applyBorder="1" applyAlignment="1">
      <alignment horizontal="center" vertical="center"/>
    </xf>
    <xf numFmtId="177" fontId="21" fillId="0" borderId="26" xfId="0" applyNumberFormat="1" applyFont="1" applyBorder="1">
      <alignment vertical="center"/>
    </xf>
    <xf numFmtId="187" fontId="21" fillId="0" borderId="28" xfId="0" applyNumberFormat="1" applyFont="1" applyBorder="1">
      <alignment vertical="center"/>
    </xf>
    <xf numFmtId="187" fontId="21" fillId="0" borderId="38" xfId="0" applyNumberFormat="1" applyFont="1" applyBorder="1">
      <alignment vertical="center"/>
    </xf>
    <xf numFmtId="187" fontId="27" fillId="0" borderId="9" xfId="0" applyNumberFormat="1" applyFont="1" applyBorder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31" fontId="4" fillId="0" borderId="0" xfId="0" applyNumberFormat="1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10" fillId="0" borderId="0" xfId="0" applyFont="1">
      <alignment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84" fontId="9" fillId="0" borderId="5" xfId="0" applyNumberFormat="1" applyFont="1" applyBorder="1" applyAlignment="1">
      <alignment horizontal="center" vertical="center"/>
    </xf>
    <xf numFmtId="176" fontId="13" fillId="0" borderId="4" xfId="0" applyNumberFormat="1" applyFont="1" applyBorder="1" applyAlignment="1">
      <alignment horizontal="center" vertical="center"/>
    </xf>
    <xf numFmtId="176" fontId="13" fillId="0" borderId="5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176" fontId="17" fillId="0" borderId="11" xfId="3" applyFont="1" applyFill="1" applyBorder="1" applyAlignment="1">
      <alignment vertical="center"/>
    </xf>
    <xf numFmtId="0" fontId="16" fillId="2" borderId="11" xfId="0" applyFont="1" applyFill="1" applyBorder="1" applyAlignment="1">
      <alignment horizontal="right" vertical="center"/>
    </xf>
    <xf numFmtId="176" fontId="17" fillId="0" borderId="12" xfId="3" applyFont="1" applyFill="1" applyBorder="1" applyAlignment="1">
      <alignment vertical="center"/>
    </xf>
    <xf numFmtId="176" fontId="17" fillId="0" borderId="14" xfId="3" applyFont="1" applyFill="1" applyBorder="1" applyAlignment="1">
      <alignment vertical="center"/>
    </xf>
    <xf numFmtId="0" fontId="16" fillId="2" borderId="14" xfId="0" applyFont="1" applyFill="1" applyBorder="1" applyAlignment="1">
      <alignment horizontal="right" vertical="center"/>
    </xf>
    <xf numFmtId="176" fontId="17" fillId="0" borderId="15" xfId="3" applyFont="1" applyFill="1" applyBorder="1" applyAlignment="1">
      <alignment vertical="center"/>
    </xf>
    <xf numFmtId="191" fontId="9" fillId="0" borderId="16" xfId="0" applyNumberFormat="1" applyFont="1" applyBorder="1" applyAlignment="1">
      <alignment horizontal="center" vertical="center"/>
    </xf>
    <xf numFmtId="191" fontId="9" fillId="0" borderId="7" xfId="0" applyNumberFormat="1" applyFont="1" applyBorder="1" applyAlignment="1">
      <alignment horizontal="center" vertical="center"/>
    </xf>
  </cellXfs>
  <cellStyles count="4">
    <cellStyle name="桁区切り" xfId="1" builtinId="6"/>
    <cellStyle name="通貨" xfId="2" builtinId="7"/>
    <cellStyle name="通貨 6" xfId="3" xr:uid="{25F9342B-FCFA-40D7-A0DF-DBBEE180DA8B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663435</xdr:colOff>
      <xdr:row>3</xdr:row>
      <xdr:rowOff>46063</xdr:rowOff>
    </xdr:from>
    <xdr:to>
      <xdr:col>8</xdr:col>
      <xdr:colOff>20852</xdr:colOff>
      <xdr:row>5</xdr:row>
      <xdr:rowOff>190549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22ED0D7-6A4A-4D49-8347-A599ED05A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8635" y="526123"/>
          <a:ext cx="729017" cy="533106"/>
        </a:xfrm>
        <a:prstGeom prst="rect">
          <a:avLst/>
        </a:prstGeom>
      </xdr:spPr>
    </xdr:pic>
    <xdr:clientData/>
  </xdr:twoCellAnchor>
  <xdr:twoCellAnchor editAs="oneCell">
    <xdr:from>
      <xdr:col>9</xdr:col>
      <xdr:colOff>525780</xdr:colOff>
      <xdr:row>6</xdr:row>
      <xdr:rowOff>22860</xdr:rowOff>
    </xdr:from>
    <xdr:to>
      <xdr:col>10</xdr:col>
      <xdr:colOff>618600</xdr:colOff>
      <xdr:row>9</xdr:row>
      <xdr:rowOff>199875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5A02990-1965-4151-A99D-19CC7EDFA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saturation sat="66000"/>
                  </a14:imgEffect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3160" y="1097280"/>
          <a:ext cx="793860" cy="794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C0CF-6DAC-4A62-A0F6-E28F9F3EDD05}">
  <sheetPr codeName="Sheet4"/>
  <dimension ref="B1:K125"/>
  <sheetViews>
    <sheetView tabSelected="1" topLeftCell="A15" workbookViewId="0">
      <selection activeCell="H37" sqref="H37"/>
    </sheetView>
  </sheetViews>
  <sheetFormatPr defaultColWidth="8.8984375" defaultRowHeight="14.4"/>
  <cols>
    <col min="1" max="1" width="2.59765625" style="1" customWidth="1"/>
    <col min="2" max="4" width="9.19921875" style="1" customWidth="1"/>
    <col min="5" max="5" width="8.09765625" style="1" customWidth="1"/>
    <col min="6" max="6" width="7.69921875" style="1" customWidth="1"/>
    <col min="7" max="7" width="8.8984375" style="1" customWidth="1"/>
    <col min="8" max="8" width="9.09765625" style="1" bestFit="1" customWidth="1"/>
    <col min="9" max="9" width="10.8984375" style="1" customWidth="1"/>
    <col min="10" max="10" width="9.19921875" style="1" customWidth="1"/>
    <col min="11" max="16384" width="8.8984375" style="1"/>
  </cols>
  <sheetData>
    <row r="1" spans="2:11" ht="17.7" customHeight="1">
      <c r="I1" s="2" t="s">
        <v>0</v>
      </c>
      <c r="J1" s="111">
        <v>46112</v>
      </c>
      <c r="K1" s="111"/>
    </row>
    <row r="2" spans="2:11" ht="10.5" customHeight="1">
      <c r="B2" s="112" t="s">
        <v>1</v>
      </c>
      <c r="C2" s="112"/>
      <c r="D2" s="112"/>
      <c r="E2" s="112"/>
      <c r="F2" s="3"/>
      <c r="G2" s="3"/>
      <c r="H2" s="3"/>
      <c r="I2" s="113" t="s">
        <v>2</v>
      </c>
      <c r="J2" s="113" t="str">
        <f ca="1">RIGHT(CELL("FILENAME",J2),12)</f>
        <v>te.xlsx]請求書表</v>
      </c>
      <c r="K2" s="113"/>
    </row>
    <row r="3" spans="2:11" ht="10.5" customHeight="1">
      <c r="B3" s="112"/>
      <c r="C3" s="112"/>
      <c r="D3" s="112"/>
      <c r="E3" s="112"/>
      <c r="F3" s="3"/>
      <c r="G3" s="3"/>
      <c r="H3" s="3"/>
      <c r="I3" s="113"/>
      <c r="J3" s="113"/>
      <c r="K3" s="113"/>
    </row>
    <row r="5" spans="2:11" ht="16.2">
      <c r="B5" s="4"/>
      <c r="C5" s="4"/>
      <c r="D5" s="4"/>
      <c r="E5" s="4"/>
      <c r="F5" s="4"/>
      <c r="G5" s="4"/>
      <c r="H5" s="5"/>
      <c r="I5" s="114" t="s">
        <v>3</v>
      </c>
      <c r="J5" s="114"/>
      <c r="K5" s="114"/>
    </row>
    <row r="6" spans="2:11" ht="16.2">
      <c r="B6" s="4"/>
      <c r="C6" s="4"/>
      <c r="D6" s="4"/>
      <c r="E6" s="4"/>
      <c r="F6" s="4"/>
      <c r="G6" s="4"/>
      <c r="H6" s="5"/>
      <c r="I6" s="114"/>
      <c r="J6" s="114"/>
      <c r="K6" s="114"/>
    </row>
    <row r="7" spans="2:11" ht="16.2">
      <c r="B7" s="4"/>
      <c r="C7" s="4"/>
      <c r="D7" s="4"/>
      <c r="E7" s="4"/>
      <c r="F7" s="4"/>
      <c r="G7" s="4"/>
      <c r="H7" s="5" t="s">
        <v>4</v>
      </c>
      <c r="I7" s="5"/>
      <c r="J7" s="5"/>
      <c r="K7" s="5"/>
    </row>
    <row r="8" spans="2:11" ht="16.2">
      <c r="B8" s="4"/>
      <c r="C8" s="4"/>
      <c r="D8" s="4"/>
      <c r="E8" s="4"/>
      <c r="F8" s="4"/>
      <c r="G8" s="4"/>
      <c r="H8" s="5" t="s">
        <v>5</v>
      </c>
      <c r="I8" s="5"/>
      <c r="J8" s="5"/>
      <c r="K8" s="5"/>
    </row>
    <row r="9" spans="2:11" ht="16.2">
      <c r="B9" s="4"/>
      <c r="C9" s="5"/>
      <c r="D9" s="5"/>
      <c r="E9" s="5"/>
      <c r="F9" s="5"/>
      <c r="G9" s="5"/>
      <c r="H9" s="5" t="s">
        <v>6</v>
      </c>
      <c r="I9" s="5"/>
      <c r="J9" s="5"/>
      <c r="K9" s="5"/>
    </row>
    <row r="10" spans="2:11" ht="16.2">
      <c r="B10" s="4" t="s">
        <v>7</v>
      </c>
      <c r="C10" s="5"/>
      <c r="D10" s="5"/>
      <c r="E10" s="5"/>
      <c r="F10" s="5"/>
      <c r="G10" s="5"/>
      <c r="H10" s="6" t="s">
        <v>8</v>
      </c>
      <c r="I10" s="5"/>
      <c r="J10" s="5"/>
      <c r="K10" s="5"/>
    </row>
    <row r="11" spans="2:11" ht="8.4" customHeight="1">
      <c r="B11" s="4"/>
      <c r="C11" s="5"/>
      <c r="D11" s="5"/>
      <c r="E11" s="5"/>
      <c r="F11" s="5"/>
      <c r="G11" s="5"/>
      <c r="H11" s="5"/>
      <c r="I11" s="5"/>
      <c r="J11" s="5"/>
      <c r="K11" s="5"/>
    </row>
    <row r="12" spans="2:11" ht="15" thickBot="1">
      <c r="B12" s="5" t="s">
        <v>9</v>
      </c>
      <c r="C12" s="5"/>
      <c r="D12" s="5"/>
      <c r="E12" s="5"/>
      <c r="F12" s="5"/>
      <c r="G12" s="5"/>
      <c r="H12" s="5"/>
      <c r="I12" s="7"/>
      <c r="J12" s="5"/>
      <c r="K12" s="5"/>
    </row>
    <row r="13" spans="2:11" ht="15" customHeight="1" thickBot="1">
      <c r="B13" s="108" t="s">
        <v>10</v>
      </c>
      <c r="C13" s="109"/>
      <c r="D13" s="110"/>
      <c r="E13" s="8"/>
      <c r="F13" s="8"/>
      <c r="G13" s="8"/>
      <c r="H13" s="8"/>
      <c r="I13" s="5"/>
      <c r="J13" s="5"/>
      <c r="K13" s="5"/>
    </row>
    <row r="14" spans="2:11" ht="15" customHeight="1">
      <c r="B14" s="118">
        <f>SUM(H28:H53)+SUM(G17:H18)</f>
        <v>49961</v>
      </c>
      <c r="C14" s="119"/>
      <c r="D14" s="120"/>
      <c r="E14" s="9"/>
      <c r="F14" s="9"/>
      <c r="G14" s="10"/>
      <c r="H14" s="11"/>
      <c r="I14" s="5"/>
      <c r="J14" s="5"/>
      <c r="K14" s="5"/>
    </row>
    <row r="15" spans="2:11" ht="15" customHeight="1" thickBot="1">
      <c r="B15" s="121"/>
      <c r="C15" s="122"/>
      <c r="D15" s="123"/>
      <c r="E15" s="9"/>
      <c r="F15" s="9"/>
      <c r="G15" s="11"/>
      <c r="H15" s="11"/>
      <c r="I15" s="5"/>
      <c r="J15" s="5"/>
      <c r="K15" s="5"/>
    </row>
    <row r="16" spans="2:11" ht="4.2" customHeight="1" thickBot="1">
      <c r="B16" s="12"/>
      <c r="C16" s="12"/>
      <c r="D16" s="12"/>
      <c r="E16" s="12"/>
      <c r="F16" s="12"/>
      <c r="G16" s="12"/>
      <c r="H16" s="12"/>
      <c r="I16" s="5"/>
      <c r="J16" s="5"/>
      <c r="K16" s="5"/>
    </row>
    <row r="17" spans="2:11" ht="21" customHeight="1" thickBot="1">
      <c r="B17" s="13" t="s">
        <v>11</v>
      </c>
      <c r="C17" s="124">
        <f>SUMIF(I28:I53,"10%課税",H28:H53)</f>
        <v>27237</v>
      </c>
      <c r="D17" s="124"/>
      <c r="E17" s="125" t="s">
        <v>12</v>
      </c>
      <c r="F17" s="125"/>
      <c r="G17" s="124">
        <f>ROUND(C17*0.1,0)</f>
        <v>2724</v>
      </c>
      <c r="H17" s="126"/>
      <c r="I17" s="5"/>
      <c r="J17" s="5"/>
    </row>
    <row r="18" spans="2:11" ht="21" customHeight="1" thickBot="1">
      <c r="B18" s="14" t="s">
        <v>13</v>
      </c>
      <c r="C18" s="127">
        <f>SUMIF(I28:I53,"8%課税",H28:H53)</f>
        <v>0</v>
      </c>
      <c r="D18" s="127"/>
      <c r="E18" s="128" t="s">
        <v>14</v>
      </c>
      <c r="F18" s="128"/>
      <c r="G18" s="127">
        <f>ROUND(C18*0.8,0)</f>
        <v>0</v>
      </c>
      <c r="H18" s="129"/>
      <c r="I18" s="5"/>
      <c r="J18" s="5"/>
    </row>
    <row r="19" spans="2:11" ht="8.4" customHeight="1" thickBot="1"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2:11" ht="15" customHeight="1">
      <c r="B20" s="15" t="s">
        <v>15</v>
      </c>
      <c r="C20" s="16" t="s">
        <v>16</v>
      </c>
      <c r="D20" s="16"/>
      <c r="E20" s="16"/>
      <c r="F20" s="16"/>
      <c r="G20" s="16" t="s">
        <v>17</v>
      </c>
      <c r="H20" s="17"/>
      <c r="I20" s="16"/>
      <c r="J20" s="18"/>
      <c r="K20" s="19"/>
    </row>
    <row r="21" spans="2:11" ht="15" customHeight="1">
      <c r="B21" s="20" t="s">
        <v>18</v>
      </c>
      <c r="C21" s="5"/>
      <c r="D21" s="5"/>
      <c r="E21" s="5"/>
      <c r="F21" s="5"/>
      <c r="G21" s="5" t="s">
        <v>19</v>
      </c>
      <c r="H21" s="5"/>
      <c r="I21" s="5"/>
      <c r="J21" s="5"/>
      <c r="K21" s="21"/>
    </row>
    <row r="22" spans="2:11" ht="15" customHeight="1">
      <c r="B22" s="20" t="s">
        <v>20</v>
      </c>
      <c r="C22" s="5"/>
      <c r="D22" s="5"/>
      <c r="E22" s="5"/>
      <c r="F22" s="5"/>
      <c r="G22" s="5" t="s">
        <v>21</v>
      </c>
      <c r="H22" s="5"/>
      <c r="I22" s="5"/>
      <c r="J22" s="5"/>
      <c r="K22" s="21"/>
    </row>
    <row r="23" spans="2:11" ht="15" customHeight="1">
      <c r="B23" s="20" t="s">
        <v>22</v>
      </c>
      <c r="C23" s="5"/>
      <c r="D23" s="5"/>
      <c r="E23" s="5"/>
      <c r="F23" s="5"/>
      <c r="G23" s="5" t="s">
        <v>23</v>
      </c>
      <c r="H23" s="5"/>
      <c r="I23" s="5"/>
      <c r="J23" s="5"/>
      <c r="K23" s="21"/>
    </row>
    <row r="24" spans="2:11" ht="15" customHeight="1">
      <c r="B24" s="20" t="s">
        <v>24</v>
      </c>
      <c r="C24" s="22"/>
      <c r="D24" s="5"/>
      <c r="E24" s="5"/>
      <c r="F24" s="5"/>
      <c r="G24" s="5" t="s">
        <v>25</v>
      </c>
      <c r="H24" s="5" t="s">
        <v>26</v>
      </c>
      <c r="I24" s="5"/>
      <c r="J24" s="5"/>
      <c r="K24" s="21"/>
    </row>
    <row r="25" spans="2:11" ht="15" customHeight="1" thickBot="1">
      <c r="B25" s="23" t="s">
        <v>27</v>
      </c>
      <c r="C25" s="24"/>
      <c r="D25" s="25"/>
      <c r="E25" s="25"/>
      <c r="F25" s="25"/>
      <c r="G25" s="25"/>
      <c r="H25" s="26">
        <v>429</v>
      </c>
      <c r="I25" s="27"/>
      <c r="J25" s="27"/>
      <c r="K25" s="28"/>
    </row>
    <row r="26" spans="2:11" ht="5.7" customHeight="1" thickBot="1"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2:11" ht="18.600000000000001" customHeight="1">
      <c r="B27" s="29" t="s">
        <v>28</v>
      </c>
      <c r="C27" s="115" t="s">
        <v>29</v>
      </c>
      <c r="D27" s="115"/>
      <c r="E27" s="115" t="s">
        <v>30</v>
      </c>
      <c r="F27" s="115"/>
      <c r="G27" s="30" t="s">
        <v>31</v>
      </c>
      <c r="H27" s="30" t="s">
        <v>32</v>
      </c>
      <c r="I27" s="30" t="s">
        <v>33</v>
      </c>
      <c r="J27" s="115" t="s">
        <v>25</v>
      </c>
      <c r="K27" s="116"/>
    </row>
    <row r="28" spans="2:11">
      <c r="B28" s="130">
        <v>46052</v>
      </c>
      <c r="C28" s="5" t="s">
        <v>34</v>
      </c>
      <c r="D28" s="5"/>
      <c r="E28" s="31">
        <v>2</v>
      </c>
      <c r="F28" s="5" t="s">
        <v>35</v>
      </c>
      <c r="G28" s="32">
        <v>10000</v>
      </c>
      <c r="H28" s="32">
        <f>IF(C28="","",IF(I28="課税",ROUND(E28*G28*1.1,0),ROUND(E28*G28,0)))</f>
        <v>20000</v>
      </c>
      <c r="I28" s="33" t="s">
        <v>36</v>
      </c>
      <c r="J28" s="34" t="s">
        <v>37</v>
      </c>
      <c r="K28" s="21"/>
    </row>
    <row r="29" spans="2:11">
      <c r="B29" s="130">
        <f>B28</f>
        <v>46052</v>
      </c>
      <c r="C29" s="5" t="s">
        <v>38</v>
      </c>
      <c r="D29" s="5"/>
      <c r="E29" s="31">
        <v>1</v>
      </c>
      <c r="F29" s="5" t="s">
        <v>39</v>
      </c>
      <c r="G29" s="32">
        <v>7000</v>
      </c>
      <c r="H29" s="32">
        <f>IF(C29="","",IF(I29="課税",ROUND(E29*G29*1.1,0),ROUND(E29*G29,0)))</f>
        <v>7000</v>
      </c>
      <c r="I29" s="33" t="s">
        <v>40</v>
      </c>
      <c r="J29" s="34"/>
      <c r="K29" s="21"/>
    </row>
    <row r="30" spans="2:11">
      <c r="B30" s="130">
        <v>46056</v>
      </c>
      <c r="C30" s="5" t="s">
        <v>41</v>
      </c>
      <c r="D30" s="5"/>
      <c r="E30" s="31">
        <v>0.41299999999999998</v>
      </c>
      <c r="F30" s="5" t="s">
        <v>42</v>
      </c>
      <c r="G30" s="35">
        <v>49000</v>
      </c>
      <c r="H30" s="32">
        <f>IF(C30="","",IF(I30="課税",ROUND(E30*G30*1.1,0),ROUND(E30*G30,0)))</f>
        <v>20237</v>
      </c>
      <c r="I30" s="33" t="s">
        <v>40</v>
      </c>
      <c r="J30" s="34"/>
      <c r="K30" s="21"/>
    </row>
    <row r="31" spans="2:11">
      <c r="B31" s="130">
        <f>C24</f>
        <v>0</v>
      </c>
      <c r="C31" s="5"/>
      <c r="D31" s="5"/>
      <c r="E31" s="31"/>
      <c r="F31" s="5"/>
      <c r="G31" s="36"/>
      <c r="H31" s="32" t="str">
        <f>IF(C31="","",IF(I31="課税",ROUND(E31*G31*1.1,0),ROUND(E31*G31*J31,0)))</f>
        <v/>
      </c>
      <c r="I31" s="33"/>
      <c r="J31" s="37"/>
      <c r="K31" s="21"/>
    </row>
    <row r="32" spans="2:11">
      <c r="B32" s="130">
        <f>B31</f>
        <v>0</v>
      </c>
      <c r="C32" s="5"/>
      <c r="D32" s="5"/>
      <c r="E32" s="31"/>
      <c r="F32" s="5"/>
      <c r="G32" s="32"/>
      <c r="H32" s="32" t="str">
        <f>IF(C32="","",IF(I32="課税",ROUND(E32*G32*1.1,0),ROUND(E32*G32,0)))</f>
        <v/>
      </c>
      <c r="I32" s="33"/>
      <c r="J32" s="34"/>
      <c r="K32" s="21"/>
    </row>
    <row r="33" spans="2:11">
      <c r="B33" s="130">
        <f>B32</f>
        <v>0</v>
      </c>
      <c r="C33" s="5"/>
      <c r="D33" s="5"/>
      <c r="E33" s="31"/>
      <c r="F33" s="5"/>
      <c r="G33" s="32"/>
      <c r="H33" s="32" t="str">
        <f>IF(C33="","",IF(I33="課税",ROUND(E33*G33*1.1,0),ROUND(E33*G33,0)))</f>
        <v/>
      </c>
      <c r="I33" s="33"/>
      <c r="K33" s="21"/>
    </row>
    <row r="34" spans="2:11">
      <c r="B34" s="130">
        <f>B33</f>
        <v>0</v>
      </c>
      <c r="C34" s="5"/>
      <c r="D34" s="5"/>
      <c r="E34" s="31"/>
      <c r="F34" s="5"/>
      <c r="G34" s="32"/>
      <c r="H34" s="32" t="str">
        <f>IF(C34="","",IF(I34="課税",ROUND(E34*G34*1.1,0),ROUND(E34*G34,0)))</f>
        <v/>
      </c>
      <c r="I34" s="33"/>
      <c r="K34" s="21"/>
    </row>
    <row r="35" spans="2:11">
      <c r="B35" s="130">
        <f>B34</f>
        <v>0</v>
      </c>
      <c r="C35" s="5"/>
      <c r="D35" s="5"/>
      <c r="E35" s="31"/>
      <c r="F35" s="5"/>
      <c r="G35" s="32"/>
      <c r="H35" s="32" t="str">
        <f>IF(C35="","",IF(I35="課税",ROUND(E35*G35*1.1,0),ROUND(E35*G35,0)))</f>
        <v/>
      </c>
      <c r="I35" s="33"/>
      <c r="J35" s="38"/>
      <c r="K35" s="21"/>
    </row>
    <row r="36" spans="2:11">
      <c r="B36" s="130">
        <f>B35</f>
        <v>0</v>
      </c>
      <c r="C36" s="5"/>
      <c r="D36" s="5"/>
      <c r="E36" s="31"/>
      <c r="F36" s="5"/>
      <c r="G36" s="36"/>
      <c r="H36" s="32" t="str">
        <f>IF(C36="","",IF(I36="課税",ROUND(E36*G36*1.1,0),ROUND(E36*G36*J36,0)))</f>
        <v/>
      </c>
      <c r="I36" s="33"/>
      <c r="J36" s="37"/>
      <c r="K36" s="21"/>
    </row>
    <row r="37" spans="2:11">
      <c r="B37" s="130">
        <f t="shared" ref="B37:B38" si="0">B36</f>
        <v>0</v>
      </c>
      <c r="C37" s="5"/>
      <c r="D37" s="5"/>
      <c r="E37" s="31"/>
      <c r="F37" s="5"/>
      <c r="G37" s="32"/>
      <c r="H37" s="32" t="str">
        <f t="shared" ref="H37:H38" si="1">IF(C37="","",IF(I37="課税",ROUND(E37*G37*1.1,0),ROUND(E37*G37,0)))</f>
        <v/>
      </c>
      <c r="I37" s="33"/>
      <c r="J37" s="34"/>
      <c r="K37" s="21"/>
    </row>
    <row r="38" spans="2:11">
      <c r="B38" s="130">
        <f t="shared" si="0"/>
        <v>0</v>
      </c>
      <c r="C38" s="5"/>
      <c r="D38" s="5"/>
      <c r="E38" s="31"/>
      <c r="F38" s="5"/>
      <c r="G38" s="32"/>
      <c r="H38" s="32" t="str">
        <f t="shared" si="1"/>
        <v/>
      </c>
      <c r="I38" s="33"/>
      <c r="J38" s="34"/>
      <c r="K38" s="21"/>
    </row>
    <row r="39" spans="2:11">
      <c r="B39" s="130"/>
      <c r="C39" s="5"/>
      <c r="D39" s="5"/>
      <c r="E39" s="39"/>
      <c r="F39" s="5"/>
      <c r="G39" s="5"/>
      <c r="H39" s="32"/>
      <c r="I39" s="33"/>
      <c r="J39" s="34"/>
      <c r="K39" s="21"/>
    </row>
    <row r="40" spans="2:11">
      <c r="B40" s="130"/>
      <c r="C40" s="5"/>
      <c r="D40" s="5"/>
      <c r="E40" s="39"/>
      <c r="F40" s="5"/>
      <c r="G40" s="5"/>
      <c r="H40" s="32"/>
      <c r="I40" s="33"/>
      <c r="J40" s="34"/>
      <c r="K40" s="21"/>
    </row>
    <row r="41" spans="2:11">
      <c r="B41" s="130"/>
      <c r="C41" s="5"/>
      <c r="D41" s="5"/>
      <c r="E41" s="39"/>
      <c r="F41" s="5"/>
      <c r="G41" s="5"/>
      <c r="H41" s="32"/>
      <c r="I41" s="33"/>
      <c r="J41" s="34"/>
      <c r="K41" s="21"/>
    </row>
    <row r="42" spans="2:11">
      <c r="B42" s="130"/>
      <c r="C42" s="5"/>
      <c r="D42" s="5"/>
      <c r="E42" s="39"/>
      <c r="F42" s="5"/>
      <c r="G42" s="5"/>
      <c r="H42" s="32"/>
      <c r="I42" s="33"/>
      <c r="J42" s="34"/>
      <c r="K42" s="21"/>
    </row>
    <row r="43" spans="2:11">
      <c r="B43" s="130"/>
      <c r="C43" s="5"/>
      <c r="D43" s="5"/>
      <c r="E43" s="39"/>
      <c r="F43" s="5"/>
      <c r="G43" s="5"/>
      <c r="H43" s="32"/>
      <c r="I43" s="33"/>
      <c r="J43" s="34"/>
      <c r="K43" s="21"/>
    </row>
    <row r="44" spans="2:11">
      <c r="B44" s="130"/>
      <c r="C44" s="5"/>
      <c r="D44" s="5"/>
      <c r="E44" s="39"/>
      <c r="F44" s="5"/>
      <c r="G44" s="5"/>
      <c r="H44" s="32"/>
      <c r="I44" s="33"/>
      <c r="J44" s="34"/>
      <c r="K44" s="21"/>
    </row>
    <row r="45" spans="2:11">
      <c r="B45" s="130"/>
      <c r="C45" s="5"/>
      <c r="D45" s="5"/>
      <c r="E45" s="39"/>
      <c r="F45" s="5"/>
      <c r="G45" s="5"/>
      <c r="H45" s="32"/>
      <c r="I45" s="33"/>
      <c r="J45" s="34"/>
      <c r="K45" s="21"/>
    </row>
    <row r="46" spans="2:11">
      <c r="B46" s="130"/>
      <c r="C46" s="5"/>
      <c r="D46" s="5"/>
      <c r="E46" s="39"/>
      <c r="F46" s="5"/>
      <c r="G46" s="5"/>
      <c r="H46" s="32"/>
      <c r="I46" s="33"/>
      <c r="J46" s="34"/>
      <c r="K46" s="21"/>
    </row>
    <row r="47" spans="2:11">
      <c r="B47" s="130"/>
      <c r="C47" s="5"/>
      <c r="D47" s="5"/>
      <c r="E47" s="5"/>
      <c r="F47" s="5"/>
      <c r="G47" s="5"/>
      <c r="H47" s="32" t="str">
        <f t="shared" ref="H47:H52" si="2">IF(B47="","",ROUND(E47*G47,0))</f>
        <v/>
      </c>
      <c r="I47" s="33" t="s">
        <v>43</v>
      </c>
      <c r="J47" s="34"/>
      <c r="K47" s="21"/>
    </row>
    <row r="48" spans="2:11">
      <c r="B48" s="130"/>
      <c r="C48" s="5"/>
      <c r="D48" s="5"/>
      <c r="E48" s="5"/>
      <c r="F48" s="5"/>
      <c r="G48" s="5"/>
      <c r="H48" s="32" t="str">
        <f t="shared" si="2"/>
        <v/>
      </c>
      <c r="I48" s="33" t="s">
        <v>43</v>
      </c>
      <c r="J48" s="34"/>
      <c r="K48" s="21"/>
    </row>
    <row r="49" spans="2:11">
      <c r="B49" s="130"/>
      <c r="C49" s="5"/>
      <c r="D49" s="5"/>
      <c r="E49" s="5"/>
      <c r="F49" s="5"/>
      <c r="G49" s="5"/>
      <c r="H49" s="32" t="str">
        <f t="shared" si="2"/>
        <v/>
      </c>
      <c r="I49" s="33" t="s">
        <v>43</v>
      </c>
      <c r="J49" s="34"/>
      <c r="K49" s="21"/>
    </row>
    <row r="50" spans="2:11">
      <c r="B50" s="130"/>
      <c r="C50" s="5"/>
      <c r="D50" s="5"/>
      <c r="E50" s="5"/>
      <c r="F50" s="5"/>
      <c r="G50" s="5"/>
      <c r="H50" s="32" t="str">
        <f t="shared" si="2"/>
        <v/>
      </c>
      <c r="I50" s="33" t="s">
        <v>43</v>
      </c>
      <c r="J50" s="34"/>
      <c r="K50" s="21"/>
    </row>
    <row r="51" spans="2:11">
      <c r="B51" s="130"/>
      <c r="C51" s="5"/>
      <c r="D51" s="5"/>
      <c r="E51" s="5"/>
      <c r="F51" s="5"/>
      <c r="G51" s="5"/>
      <c r="H51" s="32" t="str">
        <f t="shared" si="2"/>
        <v/>
      </c>
      <c r="I51" s="33" t="s">
        <v>43</v>
      </c>
      <c r="J51" s="34"/>
      <c r="K51" s="21"/>
    </row>
    <row r="52" spans="2:11">
      <c r="B52" s="130"/>
      <c r="C52" s="5"/>
      <c r="D52" s="5"/>
      <c r="E52" s="5"/>
      <c r="F52" s="5"/>
      <c r="G52" s="5"/>
      <c r="H52" s="32" t="str">
        <f t="shared" si="2"/>
        <v/>
      </c>
      <c r="I52" s="33" t="s">
        <v>43</v>
      </c>
      <c r="J52" s="34"/>
      <c r="K52" s="21"/>
    </row>
    <row r="53" spans="2:11" ht="15" thickBot="1">
      <c r="B53" s="131"/>
      <c r="C53" s="25"/>
      <c r="D53" s="25"/>
      <c r="E53" s="25"/>
      <c r="F53" s="25"/>
      <c r="G53" s="25"/>
      <c r="H53" s="25"/>
      <c r="I53" s="40" t="s">
        <v>43</v>
      </c>
      <c r="J53" s="41"/>
      <c r="K53" s="28"/>
    </row>
    <row r="54" spans="2:11">
      <c r="B54" s="5" t="s">
        <v>44</v>
      </c>
      <c r="C54" s="117">
        <f>EOMONTH(J1,1)</f>
        <v>46142</v>
      </c>
      <c r="D54" s="117"/>
      <c r="E54" s="5" t="s">
        <v>45</v>
      </c>
      <c r="F54" s="5"/>
      <c r="G54" s="5"/>
      <c r="H54" s="5"/>
      <c r="I54" s="5"/>
      <c r="J54" s="5"/>
      <c r="K54" s="5"/>
    </row>
    <row r="55" spans="2:11">
      <c r="B55" s="5" t="s">
        <v>46</v>
      </c>
      <c r="C55" s="5"/>
      <c r="D55" s="5"/>
      <c r="E55" s="5"/>
      <c r="F55" s="5"/>
      <c r="G55" s="5"/>
      <c r="H55" s="5"/>
      <c r="I55" s="5"/>
      <c r="J55" s="5"/>
      <c r="K55" s="5"/>
    </row>
    <row r="56" spans="2:11">
      <c r="B56" s="42" t="s">
        <v>47</v>
      </c>
      <c r="C56" s="42" t="s">
        <v>48</v>
      </c>
      <c r="D56" s="5"/>
      <c r="E56" s="5"/>
      <c r="F56" s="5"/>
      <c r="G56" s="5"/>
      <c r="H56" s="5"/>
      <c r="I56" s="5"/>
      <c r="J56" s="5"/>
      <c r="K56" s="5"/>
    </row>
    <row r="57" spans="2:11"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2:11"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2:11"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2:11"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2:11"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2:11"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2:11"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2:11"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2:11"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2:11"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2:11"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2:11"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2:11"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2:11"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2:11"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2:11"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2:11"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2:11"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2:11"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2:11"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2:11"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2:11"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2:11"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2:11"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2:11"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2:11"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2:11"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2:11"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2:11"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2:11"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2:11"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2:11"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2:11"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2:11"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2:11"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2:11"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2:11"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2:11"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2:11"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2:11"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2:11"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2:11"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2:11"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2:11"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2:11"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2:11"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2:11"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2:11"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2:11"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2:11"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2:11"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2:11"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2:11"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2:11"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2:11">
      <c r="B111" s="5"/>
      <c r="C111" s="5"/>
      <c r="D111" s="5"/>
      <c r="E111" s="5"/>
      <c r="F111" s="5"/>
      <c r="G111" s="5"/>
      <c r="H111" s="5"/>
      <c r="I111" s="5"/>
      <c r="J111" s="5"/>
    </row>
    <row r="112" spans="2:11">
      <c r="B112" s="5"/>
      <c r="C112" s="5"/>
      <c r="D112" s="5"/>
      <c r="E112" s="5"/>
      <c r="F112" s="5"/>
      <c r="G112" s="5"/>
      <c r="H112" s="5"/>
      <c r="I112" s="5"/>
      <c r="J112" s="5"/>
    </row>
    <row r="113" spans="2:10">
      <c r="B113" s="5"/>
      <c r="C113" s="5"/>
      <c r="D113" s="5"/>
      <c r="E113" s="5"/>
      <c r="F113" s="5"/>
      <c r="G113" s="5"/>
      <c r="H113" s="5"/>
      <c r="I113" s="5"/>
      <c r="J113" s="5"/>
    </row>
    <row r="114" spans="2:10">
      <c r="B114" s="5"/>
      <c r="C114" s="5"/>
      <c r="D114" s="5"/>
      <c r="E114" s="5"/>
      <c r="F114" s="5"/>
      <c r="G114" s="5"/>
      <c r="H114" s="5"/>
      <c r="I114" s="5"/>
      <c r="J114" s="5"/>
    </row>
    <row r="115" spans="2:10">
      <c r="B115" s="5"/>
      <c r="C115" s="5"/>
      <c r="D115" s="5"/>
      <c r="E115" s="5"/>
      <c r="F115" s="5"/>
      <c r="G115" s="5"/>
      <c r="H115" s="5"/>
      <c r="I115" s="5"/>
      <c r="J115" s="5"/>
    </row>
    <row r="116" spans="2:10">
      <c r="B116" s="5"/>
      <c r="C116" s="5"/>
      <c r="D116" s="5"/>
      <c r="E116" s="5"/>
      <c r="F116" s="5"/>
      <c r="G116" s="5"/>
      <c r="H116" s="5"/>
      <c r="I116" s="5"/>
      <c r="J116" s="5"/>
    </row>
    <row r="117" spans="2:10">
      <c r="B117" s="5"/>
      <c r="C117" s="5"/>
      <c r="D117" s="5"/>
      <c r="E117" s="5"/>
      <c r="F117" s="5"/>
      <c r="G117" s="5"/>
      <c r="H117" s="5"/>
      <c r="I117" s="5"/>
      <c r="J117" s="5"/>
    </row>
    <row r="118" spans="2:10">
      <c r="B118" s="5"/>
      <c r="C118" s="5"/>
      <c r="D118" s="5"/>
      <c r="E118" s="5"/>
      <c r="F118" s="5"/>
      <c r="G118" s="5"/>
      <c r="H118" s="5"/>
      <c r="I118" s="5"/>
      <c r="J118" s="5"/>
    </row>
    <row r="119" spans="2:10">
      <c r="B119" s="5"/>
      <c r="C119" s="5"/>
      <c r="D119" s="5"/>
      <c r="E119" s="5"/>
      <c r="F119" s="5"/>
      <c r="G119" s="5"/>
      <c r="H119" s="5"/>
      <c r="I119" s="5"/>
      <c r="J119" s="5"/>
    </row>
    <row r="120" spans="2:10">
      <c r="B120" s="5"/>
      <c r="C120" s="5"/>
      <c r="D120" s="5"/>
      <c r="E120" s="5"/>
      <c r="F120" s="5"/>
      <c r="G120" s="5"/>
      <c r="H120" s="5"/>
      <c r="I120" s="5"/>
      <c r="J120" s="5"/>
    </row>
    <row r="121" spans="2:10">
      <c r="B121" s="5"/>
      <c r="C121" s="5"/>
      <c r="D121" s="5"/>
      <c r="E121" s="5"/>
      <c r="F121" s="5"/>
      <c r="G121" s="5"/>
      <c r="H121" s="5"/>
      <c r="I121" s="5"/>
      <c r="J121" s="5"/>
    </row>
    <row r="122" spans="2:10">
      <c r="B122" s="5"/>
      <c r="C122" s="5"/>
      <c r="D122" s="5"/>
      <c r="E122" s="5"/>
      <c r="F122" s="5"/>
      <c r="G122" s="5"/>
      <c r="H122" s="5"/>
      <c r="I122" s="5"/>
      <c r="J122" s="5"/>
    </row>
    <row r="123" spans="2:10">
      <c r="B123" s="5"/>
      <c r="C123" s="5"/>
      <c r="D123" s="5"/>
      <c r="E123" s="5"/>
      <c r="F123" s="5"/>
      <c r="G123" s="5"/>
      <c r="H123" s="5"/>
      <c r="I123" s="5"/>
      <c r="J123" s="5"/>
    </row>
    <row r="124" spans="2:10">
      <c r="B124" s="5"/>
      <c r="C124" s="5"/>
      <c r="D124" s="5"/>
      <c r="E124" s="5"/>
      <c r="F124" s="5"/>
      <c r="G124" s="5"/>
      <c r="H124" s="5"/>
      <c r="I124" s="5"/>
      <c r="J124" s="5"/>
    </row>
    <row r="125" spans="2:10">
      <c r="B125" s="5"/>
      <c r="C125" s="5"/>
      <c r="D125" s="5"/>
      <c r="E125" s="5"/>
      <c r="F125" s="5"/>
      <c r="G125" s="5"/>
      <c r="H125" s="5"/>
      <c r="I125" s="5"/>
      <c r="J125" s="5"/>
    </row>
  </sheetData>
  <mergeCells count="17">
    <mergeCell ref="C27:D27"/>
    <mergeCell ref="E27:F27"/>
    <mergeCell ref="J27:K27"/>
    <mergeCell ref="C54:D54"/>
    <mergeCell ref="B14:D15"/>
    <mergeCell ref="C17:D17"/>
    <mergeCell ref="E17:F17"/>
    <mergeCell ref="G17:H17"/>
    <mergeCell ref="C18:D18"/>
    <mergeCell ref="E18:F18"/>
    <mergeCell ref="G18:H18"/>
    <mergeCell ref="B13:D13"/>
    <mergeCell ref="J1:K1"/>
    <mergeCell ref="B2:E3"/>
    <mergeCell ref="I2:I3"/>
    <mergeCell ref="J2:K3"/>
    <mergeCell ref="I5:K6"/>
  </mergeCells>
  <phoneticPr fontId="3"/>
  <dataValidations count="1">
    <dataValidation type="list" allowBlank="1" showInputMessage="1" showErrorMessage="1" sqref="I28:I53" xr:uid="{8CDF5FEE-F75C-42B8-9994-6D451E9E65A8}">
      <formula1>"10%課税,非課税,対象外,立替金,8%課税,　,"</formula1>
    </dataValidation>
  </dataValidations>
  <pageMargins left="3.937007874015748E-2" right="3.937007874015748E-2" top="0" bottom="0" header="0.11811023622047245" footer="0.31496062992125984"/>
  <pageSetup paperSize="9" scale="9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5BD43-8826-4505-8352-629ACF9D40B8}">
  <sheetPr codeName="Sheet5">
    <pageSetUpPr autoPageBreaks="0"/>
  </sheetPr>
  <dimension ref="B1:N73"/>
  <sheetViews>
    <sheetView workbookViewId="0">
      <selection activeCell="I15" sqref="I15"/>
    </sheetView>
  </sheetViews>
  <sheetFormatPr defaultColWidth="8.69921875" defaultRowHeight="13.2"/>
  <cols>
    <col min="1" max="1" width="1.19921875" style="46" customWidth="1"/>
    <col min="2" max="2" width="20" style="46" customWidth="1"/>
    <col min="3" max="3" width="16.3984375" style="58" customWidth="1"/>
    <col min="4" max="9" width="16.3984375" style="45" customWidth="1"/>
    <col min="10" max="11" width="16.3984375" style="46" customWidth="1"/>
    <col min="12" max="12" width="22.09765625" style="46" customWidth="1"/>
    <col min="13" max="14" width="20" style="46" customWidth="1"/>
    <col min="15" max="16384" width="8.69921875" style="46"/>
  </cols>
  <sheetData>
    <row r="1" spans="2:14" ht="18" customHeight="1">
      <c r="B1" s="43" t="s">
        <v>33</v>
      </c>
      <c r="C1" s="44" t="s">
        <v>49</v>
      </c>
      <c r="D1" s="43" t="s">
        <v>50</v>
      </c>
      <c r="G1" s="43" t="s">
        <v>51</v>
      </c>
      <c r="H1" s="44" t="s">
        <v>52</v>
      </c>
      <c r="N1" s="47"/>
    </row>
    <row r="2" spans="2:14" ht="18" customHeight="1">
      <c r="B2" s="48" t="s">
        <v>53</v>
      </c>
      <c r="C2" s="49">
        <f>F24</f>
        <v>32237</v>
      </c>
      <c r="D2" s="49">
        <f>J24</f>
        <v>50500</v>
      </c>
      <c r="E2" s="50"/>
      <c r="G2" s="48" t="s">
        <v>54</v>
      </c>
      <c r="H2" s="51" t="str">
        <f>IF(請求書表!B14=SUM(請求書裏!C2:C6),"〇","チェックが必要")</f>
        <v>チェックが必要</v>
      </c>
      <c r="N2" s="47"/>
    </row>
    <row r="3" spans="2:14" ht="18" customHeight="1">
      <c r="B3" s="48" t="s">
        <v>55</v>
      </c>
      <c r="C3" s="49">
        <f>G24</f>
        <v>3224</v>
      </c>
      <c r="D3" s="49">
        <f>K24</f>
        <v>5050</v>
      </c>
      <c r="E3" s="50"/>
      <c r="G3" s="46"/>
      <c r="H3" s="52"/>
      <c r="N3" s="47"/>
    </row>
    <row r="4" spans="2:14" ht="18" customHeight="1">
      <c r="B4" s="48" t="s">
        <v>56</v>
      </c>
      <c r="C4" s="49">
        <f>F39</f>
        <v>20000</v>
      </c>
      <c r="D4" s="49">
        <f>J39</f>
        <v>68400</v>
      </c>
      <c r="G4" s="43" t="s">
        <v>57</v>
      </c>
      <c r="H4" s="43" t="s">
        <v>58</v>
      </c>
      <c r="I4" s="43" t="s">
        <v>56</v>
      </c>
      <c r="J4" s="43" t="s">
        <v>59</v>
      </c>
      <c r="K4" s="43" t="s">
        <v>60</v>
      </c>
      <c r="L4" s="43" t="s">
        <v>61</v>
      </c>
      <c r="M4" s="43" t="s">
        <v>62</v>
      </c>
      <c r="N4" s="47"/>
    </row>
    <row r="5" spans="2:14" ht="18" customHeight="1" thickBot="1">
      <c r="B5" s="48" t="s">
        <v>59</v>
      </c>
      <c r="C5" s="49">
        <f>F54</f>
        <v>0</v>
      </c>
      <c r="D5" s="53">
        <f>J54</f>
        <v>0</v>
      </c>
      <c r="E5" s="54" t="s">
        <v>63</v>
      </c>
      <c r="G5" s="55">
        <f>C2</f>
        <v>32237</v>
      </c>
      <c r="H5" s="55">
        <f>C3</f>
        <v>3224</v>
      </c>
      <c r="I5" s="55">
        <f>C4</f>
        <v>20000</v>
      </c>
      <c r="J5" s="55">
        <f>C5</f>
        <v>0</v>
      </c>
      <c r="K5" s="55">
        <f>C6</f>
        <v>0</v>
      </c>
      <c r="L5" s="55">
        <f>SUM(C2:C6)</f>
        <v>55461</v>
      </c>
      <c r="M5" s="55">
        <f>D2+D4+D5</f>
        <v>118900</v>
      </c>
      <c r="N5" s="47"/>
    </row>
    <row r="6" spans="2:14" ht="18" customHeight="1" thickBot="1">
      <c r="B6" s="48" t="s">
        <v>64</v>
      </c>
      <c r="C6" s="49">
        <f>F69</f>
        <v>0</v>
      </c>
      <c r="D6" s="49">
        <f>J69</f>
        <v>0</v>
      </c>
      <c r="E6" s="56">
        <f>SUM(C2+C4+C5+C6)-SUM(D2+D4+D5+D6)</f>
        <v>-66663</v>
      </c>
      <c r="G6" s="46"/>
      <c r="H6" s="52"/>
      <c r="N6" s="47"/>
    </row>
    <row r="7" spans="2:14" ht="18" customHeight="1" thickBot="1">
      <c r="B7" s="57" t="s">
        <v>49</v>
      </c>
      <c r="H7" s="59" t="s">
        <v>50</v>
      </c>
      <c r="N7" s="47"/>
    </row>
    <row r="8" spans="2:14" ht="18" customHeight="1">
      <c r="B8" s="60" t="s">
        <v>65</v>
      </c>
      <c r="C8" s="61" t="s">
        <v>30</v>
      </c>
      <c r="D8" s="62" t="s">
        <v>66</v>
      </c>
      <c r="E8" s="62"/>
      <c r="F8" s="62" t="s">
        <v>67</v>
      </c>
      <c r="G8" s="62" t="s">
        <v>68</v>
      </c>
      <c r="H8" s="60" t="s">
        <v>30</v>
      </c>
      <c r="I8" s="62" t="s">
        <v>69</v>
      </c>
      <c r="J8" s="62" t="s">
        <v>70</v>
      </c>
      <c r="K8" s="62" t="s">
        <v>68</v>
      </c>
      <c r="L8" s="63" t="s">
        <v>71</v>
      </c>
      <c r="M8" s="62" t="s">
        <v>2</v>
      </c>
      <c r="N8" s="64" t="s">
        <v>72</v>
      </c>
    </row>
    <row r="9" spans="2:14" ht="18" customHeight="1">
      <c r="B9" s="65" t="s">
        <v>73</v>
      </c>
      <c r="C9" s="66"/>
      <c r="D9" s="67"/>
      <c r="E9" s="67"/>
      <c r="F9" s="68"/>
      <c r="G9" s="68"/>
      <c r="H9" s="65" t="s">
        <v>73</v>
      </c>
      <c r="I9" s="67"/>
      <c r="J9" s="68"/>
      <c r="K9" s="69"/>
      <c r="L9" s="70"/>
      <c r="M9" s="68"/>
      <c r="N9" s="71"/>
    </row>
    <row r="10" spans="2:14" ht="18" customHeight="1">
      <c r="B10" s="72" t="s">
        <v>38</v>
      </c>
      <c r="C10" s="73">
        <v>1</v>
      </c>
      <c r="D10" s="74">
        <v>7000</v>
      </c>
      <c r="E10" s="74"/>
      <c r="F10" s="75">
        <f t="shared" ref="F10:F23" si="0">IF(D10="","",ROUND(C10*D10,0))</f>
        <v>7000</v>
      </c>
      <c r="G10" s="75">
        <f>IF(F10="","",ROUND(F10*0.1,0))</f>
        <v>700</v>
      </c>
      <c r="H10" s="76">
        <f t="shared" ref="H10:H24" si="1">IF(C10="", "", C10)</f>
        <v>1</v>
      </c>
      <c r="I10" s="74">
        <v>3000</v>
      </c>
      <c r="J10" s="75">
        <f>IF(I10="","",ROUND(H10*I10,0))</f>
        <v>3000</v>
      </c>
      <c r="K10" s="77">
        <f>IF(J10="","",ROUND(J10*0.1,0))</f>
        <v>300</v>
      </c>
      <c r="L10" s="70" t="s">
        <v>74</v>
      </c>
      <c r="M10" s="78" t="s">
        <v>75</v>
      </c>
      <c r="N10" s="71">
        <v>46081</v>
      </c>
    </row>
    <row r="11" spans="2:14" ht="18" customHeight="1">
      <c r="B11" s="72" t="s">
        <v>41</v>
      </c>
      <c r="C11" s="73">
        <v>1</v>
      </c>
      <c r="D11" s="74">
        <f>請求書表!H30</f>
        <v>20237</v>
      </c>
      <c r="E11" s="74"/>
      <c r="F11" s="75">
        <f t="shared" si="0"/>
        <v>20237</v>
      </c>
      <c r="G11" s="75">
        <f t="shared" ref="G11:G24" si="2">IF(F11="","",ROUND(F11*0.1,0))</f>
        <v>2024</v>
      </c>
      <c r="H11" s="76">
        <f t="shared" si="1"/>
        <v>1</v>
      </c>
      <c r="I11" s="74">
        <v>43000</v>
      </c>
      <c r="J11" s="75">
        <f t="shared" ref="J11:J23" si="3">IF(I11="","",ROUND(H11*I11,0))</f>
        <v>43000</v>
      </c>
      <c r="K11" s="77">
        <f t="shared" ref="K11:K24" si="4">IF(J11="","",ROUND(J11*0.1,0))</f>
        <v>4300</v>
      </c>
      <c r="L11" s="70" t="s">
        <v>76</v>
      </c>
      <c r="M11" s="78" t="s">
        <v>77</v>
      </c>
      <c r="N11" s="71">
        <v>46112</v>
      </c>
    </row>
    <row r="12" spans="2:14" ht="18" customHeight="1">
      <c r="B12" s="72" t="s">
        <v>78</v>
      </c>
      <c r="C12" s="73">
        <v>1</v>
      </c>
      <c r="D12" s="74">
        <v>5000</v>
      </c>
      <c r="E12" s="74"/>
      <c r="F12" s="75">
        <f>IF(D12="","",ROUND(C12*D12,0))</f>
        <v>5000</v>
      </c>
      <c r="G12" s="75">
        <f t="shared" si="2"/>
        <v>500</v>
      </c>
      <c r="H12" s="76">
        <f t="shared" si="1"/>
        <v>1</v>
      </c>
      <c r="I12" s="74"/>
      <c r="J12" s="75" t="str">
        <f t="shared" si="3"/>
        <v/>
      </c>
      <c r="K12" s="69" t="str">
        <f t="shared" si="4"/>
        <v/>
      </c>
      <c r="L12" s="70"/>
      <c r="M12" s="78"/>
      <c r="N12" s="71"/>
    </row>
    <row r="13" spans="2:14" ht="18" customHeight="1">
      <c r="B13" s="72" t="s">
        <v>79</v>
      </c>
      <c r="C13" s="73">
        <v>1</v>
      </c>
      <c r="D13" s="74" t="str">
        <f>請求書表!H33</f>
        <v/>
      </c>
      <c r="E13" s="74"/>
      <c r="F13" s="75" t="str">
        <f>IF(D13="","",ROUND(C13*D13,0))</f>
        <v/>
      </c>
      <c r="G13" s="75" t="str">
        <f t="shared" si="2"/>
        <v/>
      </c>
      <c r="H13" s="76">
        <f t="shared" si="1"/>
        <v>1</v>
      </c>
      <c r="I13" s="74">
        <v>4500</v>
      </c>
      <c r="J13" s="75">
        <f t="shared" si="3"/>
        <v>4500</v>
      </c>
      <c r="K13" s="69">
        <f t="shared" si="4"/>
        <v>450</v>
      </c>
      <c r="L13" s="70" t="s">
        <v>74</v>
      </c>
      <c r="M13" s="78" t="s">
        <v>75</v>
      </c>
      <c r="N13" s="71">
        <v>46081</v>
      </c>
    </row>
    <row r="14" spans="2:14" ht="18" customHeight="1">
      <c r="B14" s="72"/>
      <c r="C14" s="73"/>
      <c r="D14" s="74"/>
      <c r="E14" s="74"/>
      <c r="F14" s="75" t="str">
        <f>IF(D14="","",ROUND(C14*D14,0))</f>
        <v/>
      </c>
      <c r="G14" s="75" t="str">
        <f t="shared" si="2"/>
        <v/>
      </c>
      <c r="H14" s="76" t="str">
        <f t="shared" si="1"/>
        <v/>
      </c>
      <c r="I14" s="74"/>
      <c r="J14" s="75" t="str">
        <f t="shared" si="3"/>
        <v/>
      </c>
      <c r="K14" s="69" t="str">
        <f t="shared" si="4"/>
        <v/>
      </c>
      <c r="L14" s="70"/>
      <c r="M14" s="78"/>
      <c r="N14" s="71"/>
    </row>
    <row r="15" spans="2:14" ht="18" customHeight="1">
      <c r="B15" s="72"/>
      <c r="C15" s="73"/>
      <c r="D15" s="74"/>
      <c r="E15" s="74"/>
      <c r="F15" s="75" t="str">
        <f>IF(D15="","",ROUND(C15*D15,0))</f>
        <v/>
      </c>
      <c r="G15" s="75" t="str">
        <f t="shared" si="2"/>
        <v/>
      </c>
      <c r="H15" s="76" t="str">
        <f t="shared" si="1"/>
        <v/>
      </c>
      <c r="I15" s="74"/>
      <c r="J15" s="75" t="str">
        <f t="shared" si="3"/>
        <v/>
      </c>
      <c r="K15" s="69" t="str">
        <f t="shared" si="4"/>
        <v/>
      </c>
      <c r="L15" s="70"/>
      <c r="M15" s="78"/>
      <c r="N15" s="71"/>
    </row>
    <row r="16" spans="2:14" ht="18" customHeight="1">
      <c r="B16" s="72"/>
      <c r="C16" s="73"/>
      <c r="D16" s="74"/>
      <c r="E16" s="74"/>
      <c r="F16" s="75" t="str">
        <f t="shared" si="0"/>
        <v/>
      </c>
      <c r="G16" s="75" t="str">
        <f t="shared" si="2"/>
        <v/>
      </c>
      <c r="H16" s="76" t="str">
        <f t="shared" si="1"/>
        <v/>
      </c>
      <c r="I16" s="74"/>
      <c r="J16" s="75" t="str">
        <f t="shared" si="3"/>
        <v/>
      </c>
      <c r="K16" s="69" t="str">
        <f t="shared" si="4"/>
        <v/>
      </c>
      <c r="L16" s="70"/>
      <c r="M16" s="78"/>
      <c r="N16" s="71"/>
    </row>
    <row r="17" spans="2:14" ht="18" customHeight="1">
      <c r="B17" s="72"/>
      <c r="C17" s="73"/>
      <c r="D17" s="74"/>
      <c r="E17" s="74"/>
      <c r="F17" s="75" t="str">
        <f t="shared" si="0"/>
        <v/>
      </c>
      <c r="G17" s="75" t="str">
        <f t="shared" si="2"/>
        <v/>
      </c>
      <c r="H17" s="76" t="str">
        <f t="shared" si="1"/>
        <v/>
      </c>
      <c r="I17" s="74"/>
      <c r="J17" s="75" t="str">
        <f t="shared" si="3"/>
        <v/>
      </c>
      <c r="K17" s="69" t="str">
        <f t="shared" si="4"/>
        <v/>
      </c>
      <c r="L17" s="70"/>
      <c r="M17" s="78"/>
      <c r="N17" s="71"/>
    </row>
    <row r="18" spans="2:14" ht="18" customHeight="1">
      <c r="B18" s="72"/>
      <c r="C18" s="73"/>
      <c r="D18" s="74"/>
      <c r="E18" s="74"/>
      <c r="F18" s="75" t="str">
        <f t="shared" si="0"/>
        <v/>
      </c>
      <c r="G18" s="75" t="str">
        <f t="shared" si="2"/>
        <v/>
      </c>
      <c r="H18" s="76" t="str">
        <f t="shared" si="1"/>
        <v/>
      </c>
      <c r="I18" s="74"/>
      <c r="J18" s="75" t="str">
        <f t="shared" si="3"/>
        <v/>
      </c>
      <c r="K18" s="69" t="str">
        <f t="shared" si="4"/>
        <v/>
      </c>
      <c r="L18" s="70"/>
      <c r="M18" s="68"/>
      <c r="N18" s="71"/>
    </row>
    <row r="19" spans="2:14" ht="18" customHeight="1">
      <c r="B19" s="72"/>
      <c r="C19" s="73"/>
      <c r="D19" s="74"/>
      <c r="E19" s="74"/>
      <c r="F19" s="75" t="str">
        <f t="shared" si="0"/>
        <v/>
      </c>
      <c r="G19" s="75" t="str">
        <f t="shared" si="2"/>
        <v/>
      </c>
      <c r="H19" s="76" t="str">
        <f t="shared" si="1"/>
        <v/>
      </c>
      <c r="I19" s="74"/>
      <c r="J19" s="75" t="str">
        <f t="shared" si="3"/>
        <v/>
      </c>
      <c r="K19" s="69" t="str">
        <f t="shared" si="4"/>
        <v/>
      </c>
      <c r="L19" s="70"/>
      <c r="M19" s="68"/>
      <c r="N19" s="71"/>
    </row>
    <row r="20" spans="2:14" ht="18" customHeight="1">
      <c r="B20" s="72"/>
      <c r="C20" s="73"/>
      <c r="D20" s="74"/>
      <c r="E20" s="74"/>
      <c r="F20" s="75" t="str">
        <f t="shared" si="0"/>
        <v/>
      </c>
      <c r="G20" s="75" t="str">
        <f t="shared" si="2"/>
        <v/>
      </c>
      <c r="H20" s="76" t="str">
        <f t="shared" si="1"/>
        <v/>
      </c>
      <c r="I20" s="74"/>
      <c r="J20" s="75" t="str">
        <f t="shared" si="3"/>
        <v/>
      </c>
      <c r="K20" s="69" t="str">
        <f t="shared" si="4"/>
        <v/>
      </c>
      <c r="L20" s="70"/>
      <c r="M20" s="68"/>
      <c r="N20" s="71"/>
    </row>
    <row r="21" spans="2:14" ht="18" customHeight="1">
      <c r="B21" s="72"/>
      <c r="C21" s="73"/>
      <c r="D21" s="74"/>
      <c r="E21" s="74"/>
      <c r="F21" s="75" t="str">
        <f t="shared" si="0"/>
        <v/>
      </c>
      <c r="G21" s="75" t="str">
        <f t="shared" si="2"/>
        <v/>
      </c>
      <c r="H21" s="76" t="str">
        <f t="shared" si="1"/>
        <v/>
      </c>
      <c r="I21" s="74"/>
      <c r="J21" s="75" t="str">
        <f t="shared" si="3"/>
        <v/>
      </c>
      <c r="K21" s="69" t="str">
        <f t="shared" si="4"/>
        <v/>
      </c>
      <c r="L21" s="70"/>
      <c r="M21" s="68"/>
      <c r="N21" s="71"/>
    </row>
    <row r="22" spans="2:14" ht="18" customHeight="1">
      <c r="B22" s="72"/>
      <c r="C22" s="73"/>
      <c r="D22" s="74"/>
      <c r="E22" s="74"/>
      <c r="F22" s="75" t="str">
        <f t="shared" si="0"/>
        <v/>
      </c>
      <c r="G22" s="75" t="str">
        <f t="shared" si="2"/>
        <v/>
      </c>
      <c r="H22" s="76" t="str">
        <f t="shared" si="1"/>
        <v/>
      </c>
      <c r="I22" s="74"/>
      <c r="J22" s="75" t="str">
        <f t="shared" si="3"/>
        <v/>
      </c>
      <c r="K22" s="69" t="str">
        <f t="shared" si="4"/>
        <v/>
      </c>
      <c r="L22" s="70"/>
      <c r="M22" s="68"/>
      <c r="N22" s="71"/>
    </row>
    <row r="23" spans="2:14" ht="18" customHeight="1" thickBot="1">
      <c r="B23" s="72"/>
      <c r="C23" s="73"/>
      <c r="D23" s="74"/>
      <c r="E23" s="79"/>
      <c r="F23" s="80" t="str">
        <f t="shared" si="0"/>
        <v/>
      </c>
      <c r="G23" s="80" t="str">
        <f t="shared" si="2"/>
        <v/>
      </c>
      <c r="H23" s="76" t="str">
        <f t="shared" si="1"/>
        <v/>
      </c>
      <c r="I23" s="74"/>
      <c r="J23" s="75" t="str">
        <f t="shared" si="3"/>
        <v/>
      </c>
      <c r="K23" s="69" t="str">
        <f t="shared" si="4"/>
        <v/>
      </c>
      <c r="L23" s="70"/>
      <c r="M23" s="68"/>
      <c r="N23" s="71"/>
    </row>
    <row r="24" spans="2:14" ht="18" customHeight="1" thickBot="1">
      <c r="B24" s="81"/>
      <c r="C24" s="82"/>
      <c r="D24" s="83"/>
      <c r="E24" s="84" t="s">
        <v>10</v>
      </c>
      <c r="F24" s="85">
        <f>SUM(F10:F23)</f>
        <v>32237</v>
      </c>
      <c r="G24" s="86">
        <f t="shared" si="2"/>
        <v>3224</v>
      </c>
      <c r="H24" s="87" t="str">
        <f t="shared" si="1"/>
        <v/>
      </c>
      <c r="I24" s="84" t="s">
        <v>10</v>
      </c>
      <c r="J24" s="85">
        <f>SUM(J10:J23)</f>
        <v>50500</v>
      </c>
      <c r="K24" s="88">
        <f t="shared" si="4"/>
        <v>5050</v>
      </c>
      <c r="L24" s="89"/>
      <c r="M24" s="90"/>
      <c r="N24" s="91"/>
    </row>
    <row r="25" spans="2:14" ht="18" customHeight="1">
      <c r="B25" s="92" t="s">
        <v>80</v>
      </c>
      <c r="C25" s="93" t="s">
        <v>30</v>
      </c>
      <c r="D25" s="94" t="s">
        <v>66</v>
      </c>
      <c r="E25" s="94"/>
      <c r="F25" s="94" t="s">
        <v>67</v>
      </c>
      <c r="G25" s="95"/>
      <c r="H25" s="92" t="s">
        <v>80</v>
      </c>
      <c r="I25" s="94" t="s">
        <v>81</v>
      </c>
      <c r="J25" s="94" t="s">
        <v>82</v>
      </c>
      <c r="K25" s="96"/>
      <c r="L25" s="97" t="s">
        <v>83</v>
      </c>
      <c r="M25" s="98" t="s">
        <v>2</v>
      </c>
      <c r="N25" s="99" t="s">
        <v>72</v>
      </c>
    </row>
    <row r="26" spans="2:14" ht="18" customHeight="1">
      <c r="B26" s="72" t="s">
        <v>34</v>
      </c>
      <c r="C26" s="73">
        <f>請求書表!E28</f>
        <v>2</v>
      </c>
      <c r="D26" s="74">
        <v>10000</v>
      </c>
      <c r="E26" s="74"/>
      <c r="F26" s="75">
        <f t="shared" ref="F26:F38" si="5">IF(D26="","",ROUND(C26*D26,0))</f>
        <v>20000</v>
      </c>
      <c r="G26" s="75"/>
      <c r="H26" s="76">
        <f t="shared" ref="H26:H39" si="6">IF(C26="", "", C26)</f>
        <v>2</v>
      </c>
      <c r="I26" s="74">
        <v>8000</v>
      </c>
      <c r="J26" s="75">
        <f>IF(I26="","",ROUND(H26*I26,0))</f>
        <v>16000</v>
      </c>
      <c r="K26" s="69"/>
      <c r="L26" s="70" t="s">
        <v>74</v>
      </c>
      <c r="M26" s="78" t="s">
        <v>75</v>
      </c>
      <c r="N26" s="71">
        <v>46081</v>
      </c>
    </row>
    <row r="27" spans="2:14" ht="18" customHeight="1">
      <c r="B27" s="72" t="s">
        <v>84</v>
      </c>
      <c r="C27" s="73">
        <v>1</v>
      </c>
      <c r="D27" s="74" t="str">
        <f>請求書表!H32</f>
        <v/>
      </c>
      <c r="E27" s="74"/>
      <c r="F27" s="75" t="str">
        <f t="shared" si="5"/>
        <v/>
      </c>
      <c r="G27" s="75"/>
      <c r="H27" s="76">
        <f t="shared" si="6"/>
        <v>1</v>
      </c>
      <c r="I27" s="74">
        <v>52900</v>
      </c>
      <c r="J27" s="75">
        <f t="shared" ref="J27:J38" si="7">IF(I27="","",ROUND(H27*I27,0))</f>
        <v>52900</v>
      </c>
      <c r="K27" s="69"/>
      <c r="L27" s="70" t="s">
        <v>74</v>
      </c>
      <c r="M27" s="78" t="s">
        <v>75</v>
      </c>
      <c r="N27" s="71">
        <v>46081</v>
      </c>
    </row>
    <row r="28" spans="2:14" ht="18" customHeight="1">
      <c r="B28" s="72" t="s">
        <v>85</v>
      </c>
      <c r="C28" s="73">
        <v>1</v>
      </c>
      <c r="D28" s="74" t="str">
        <f>請求書表!H35</f>
        <v/>
      </c>
      <c r="E28" s="74"/>
      <c r="F28" s="75" t="str">
        <f t="shared" si="5"/>
        <v/>
      </c>
      <c r="G28" s="75"/>
      <c r="H28" s="76">
        <f t="shared" si="6"/>
        <v>1</v>
      </c>
      <c r="I28" s="74">
        <v>4600</v>
      </c>
      <c r="J28" s="75">
        <f t="shared" si="7"/>
        <v>4600</v>
      </c>
      <c r="K28" s="69"/>
      <c r="L28" s="70" t="s">
        <v>74</v>
      </c>
      <c r="M28" s="78" t="s">
        <v>75</v>
      </c>
      <c r="N28" s="71">
        <v>46081</v>
      </c>
    </row>
    <row r="29" spans="2:14" ht="18" customHeight="1">
      <c r="B29" s="72" t="s">
        <v>86</v>
      </c>
      <c r="C29" s="73">
        <v>1</v>
      </c>
      <c r="D29" s="74" t="str">
        <f>請求書表!H37</f>
        <v/>
      </c>
      <c r="E29" s="74"/>
      <c r="F29" s="75" t="str">
        <f t="shared" si="5"/>
        <v/>
      </c>
      <c r="G29" s="75"/>
      <c r="H29" s="76">
        <f t="shared" si="6"/>
        <v>1</v>
      </c>
      <c r="I29" s="74">
        <v>1300</v>
      </c>
      <c r="J29" s="75">
        <f t="shared" si="7"/>
        <v>1300</v>
      </c>
      <c r="K29" s="69"/>
      <c r="L29" s="70" t="s">
        <v>74</v>
      </c>
      <c r="M29" s="78" t="s">
        <v>75</v>
      </c>
      <c r="N29" s="71">
        <v>46081</v>
      </c>
    </row>
    <row r="30" spans="2:14" ht="18" customHeight="1">
      <c r="B30" s="72" t="s">
        <v>87</v>
      </c>
      <c r="C30" s="73">
        <v>1</v>
      </c>
      <c r="D30" s="74" t="str">
        <f>請求書表!H38</f>
        <v/>
      </c>
      <c r="E30" s="74"/>
      <c r="F30" s="75" t="str">
        <f t="shared" si="5"/>
        <v/>
      </c>
      <c r="G30" s="75"/>
      <c r="H30" s="76">
        <f t="shared" si="6"/>
        <v>1</v>
      </c>
      <c r="I30" s="74">
        <v>1600</v>
      </c>
      <c r="J30" s="75">
        <f t="shared" si="7"/>
        <v>1600</v>
      </c>
      <c r="K30" s="69"/>
      <c r="L30" s="70" t="s">
        <v>74</v>
      </c>
      <c r="M30" s="78" t="s">
        <v>75</v>
      </c>
      <c r="N30" s="71">
        <v>46081</v>
      </c>
    </row>
    <row r="31" spans="2:14" ht="18" customHeight="1">
      <c r="B31" s="72" t="s">
        <v>88</v>
      </c>
      <c r="C31" s="73">
        <v>1</v>
      </c>
      <c r="D31" s="74"/>
      <c r="E31" s="74"/>
      <c r="F31" s="75" t="str">
        <f t="shared" si="5"/>
        <v/>
      </c>
      <c r="G31" s="75"/>
      <c r="H31" s="76">
        <f t="shared" si="6"/>
        <v>1</v>
      </c>
      <c r="I31" s="74">
        <v>-8000</v>
      </c>
      <c r="J31" s="75">
        <f t="shared" si="7"/>
        <v>-8000</v>
      </c>
      <c r="K31" s="69"/>
      <c r="L31" s="70" t="s">
        <v>74</v>
      </c>
      <c r="M31" s="78" t="s">
        <v>75</v>
      </c>
      <c r="N31" s="71">
        <v>46081</v>
      </c>
    </row>
    <row r="32" spans="2:14" ht="18" customHeight="1">
      <c r="B32" s="72"/>
      <c r="C32" s="73"/>
      <c r="D32" s="74"/>
      <c r="E32" s="74"/>
      <c r="F32" s="75" t="str">
        <f t="shared" si="5"/>
        <v/>
      </c>
      <c r="G32" s="75"/>
      <c r="H32" s="76" t="str">
        <f t="shared" si="6"/>
        <v/>
      </c>
      <c r="I32" s="74"/>
      <c r="J32" s="75" t="str">
        <f t="shared" si="7"/>
        <v/>
      </c>
      <c r="K32" s="69"/>
      <c r="L32" s="70"/>
      <c r="M32" s="78"/>
      <c r="N32" s="71"/>
    </row>
    <row r="33" spans="2:14" ht="18" customHeight="1">
      <c r="B33" s="72"/>
      <c r="C33" s="73"/>
      <c r="D33" s="74"/>
      <c r="E33" s="74"/>
      <c r="F33" s="75" t="str">
        <f t="shared" si="5"/>
        <v/>
      </c>
      <c r="G33" s="75"/>
      <c r="H33" s="76" t="str">
        <f t="shared" si="6"/>
        <v/>
      </c>
      <c r="I33" s="74"/>
      <c r="J33" s="75" t="str">
        <f t="shared" si="7"/>
        <v/>
      </c>
      <c r="K33" s="69"/>
      <c r="L33" s="70"/>
      <c r="M33" s="78"/>
      <c r="N33" s="71"/>
    </row>
    <row r="34" spans="2:14" ht="18" customHeight="1">
      <c r="B34" s="72"/>
      <c r="C34" s="73"/>
      <c r="D34" s="74"/>
      <c r="E34" s="74"/>
      <c r="F34" s="75" t="str">
        <f t="shared" si="5"/>
        <v/>
      </c>
      <c r="G34" s="75"/>
      <c r="H34" s="76" t="str">
        <f t="shared" si="6"/>
        <v/>
      </c>
      <c r="I34" s="74"/>
      <c r="J34" s="75" t="str">
        <f t="shared" si="7"/>
        <v/>
      </c>
      <c r="K34" s="69"/>
      <c r="L34" s="70"/>
      <c r="M34" s="78"/>
      <c r="N34" s="71"/>
    </row>
    <row r="35" spans="2:14" ht="18" customHeight="1">
      <c r="B35" s="72"/>
      <c r="C35" s="73"/>
      <c r="D35" s="74"/>
      <c r="E35" s="74"/>
      <c r="F35" s="75" t="str">
        <f t="shared" si="5"/>
        <v/>
      </c>
      <c r="G35" s="75"/>
      <c r="H35" s="76" t="str">
        <f t="shared" si="6"/>
        <v/>
      </c>
      <c r="I35" s="74"/>
      <c r="J35" s="75" t="str">
        <f>IF(I35="","",ROUND(H35*I35,0))</f>
        <v/>
      </c>
      <c r="K35" s="69"/>
      <c r="L35" s="70"/>
      <c r="M35" s="78"/>
      <c r="N35" s="71"/>
    </row>
    <row r="36" spans="2:14" ht="18" customHeight="1">
      <c r="B36" s="72"/>
      <c r="C36" s="73"/>
      <c r="D36" s="74"/>
      <c r="E36" s="74"/>
      <c r="F36" s="75" t="str">
        <f t="shared" si="5"/>
        <v/>
      </c>
      <c r="G36" s="75"/>
      <c r="H36" s="76" t="str">
        <f t="shared" si="6"/>
        <v/>
      </c>
      <c r="I36" s="74"/>
      <c r="J36" s="75" t="str">
        <f t="shared" si="7"/>
        <v/>
      </c>
      <c r="K36" s="69"/>
      <c r="L36" s="70"/>
      <c r="M36" s="78"/>
      <c r="N36" s="71"/>
    </row>
    <row r="37" spans="2:14" ht="18" customHeight="1">
      <c r="B37" s="72"/>
      <c r="C37" s="73"/>
      <c r="D37" s="74"/>
      <c r="E37" s="74"/>
      <c r="F37" s="75" t="str">
        <f t="shared" si="5"/>
        <v/>
      </c>
      <c r="G37" s="75"/>
      <c r="H37" s="76" t="str">
        <f t="shared" si="6"/>
        <v/>
      </c>
      <c r="I37" s="74"/>
      <c r="J37" s="75" t="str">
        <f t="shared" si="7"/>
        <v/>
      </c>
      <c r="K37" s="69"/>
      <c r="L37" s="70"/>
      <c r="M37" s="68"/>
      <c r="N37" s="71"/>
    </row>
    <row r="38" spans="2:14" ht="18" customHeight="1" thickBot="1">
      <c r="B38" s="72"/>
      <c r="C38" s="73"/>
      <c r="D38" s="74"/>
      <c r="E38" s="74"/>
      <c r="F38" s="80" t="str">
        <f t="shared" si="5"/>
        <v/>
      </c>
      <c r="G38" s="75"/>
      <c r="H38" s="76" t="str">
        <f t="shared" si="6"/>
        <v/>
      </c>
      <c r="I38" s="74"/>
      <c r="J38" s="75" t="str">
        <f t="shared" si="7"/>
        <v/>
      </c>
      <c r="K38" s="69"/>
      <c r="L38" s="70"/>
      <c r="M38" s="68"/>
      <c r="N38" s="71"/>
    </row>
    <row r="39" spans="2:14" ht="18" customHeight="1" thickBot="1">
      <c r="B39" s="81"/>
      <c r="C39" s="82"/>
      <c r="D39" s="83"/>
      <c r="E39" s="84" t="s">
        <v>10</v>
      </c>
      <c r="F39" s="85">
        <f>SUM(F25:F38)</f>
        <v>20000</v>
      </c>
      <c r="G39" s="100"/>
      <c r="H39" s="87" t="str">
        <f t="shared" si="6"/>
        <v/>
      </c>
      <c r="I39" s="84" t="s">
        <v>10</v>
      </c>
      <c r="J39" s="85">
        <f>SUM(J25:J38)</f>
        <v>68400</v>
      </c>
      <c r="K39" s="101"/>
      <c r="L39" s="89"/>
      <c r="M39" s="90"/>
      <c r="N39" s="91"/>
    </row>
    <row r="40" spans="2:14" ht="18" customHeight="1">
      <c r="B40" s="65" t="s">
        <v>89</v>
      </c>
      <c r="C40" s="73" t="s">
        <v>30</v>
      </c>
      <c r="D40" s="74" t="s">
        <v>66</v>
      </c>
      <c r="E40" s="74"/>
      <c r="F40" s="74" t="s">
        <v>67</v>
      </c>
      <c r="G40" s="75"/>
      <c r="H40" s="65" t="s">
        <v>89</v>
      </c>
      <c r="I40" s="74" t="s">
        <v>81</v>
      </c>
      <c r="J40" s="74" t="s">
        <v>82</v>
      </c>
      <c r="K40" s="69"/>
      <c r="L40" s="70" t="s">
        <v>83</v>
      </c>
      <c r="M40" s="68" t="s">
        <v>2</v>
      </c>
      <c r="N40" s="71" t="s">
        <v>72</v>
      </c>
    </row>
    <row r="41" spans="2:14" ht="18" customHeight="1">
      <c r="B41" s="72" t="s">
        <v>90</v>
      </c>
      <c r="C41" s="73">
        <f>請求書表!E35</f>
        <v>0</v>
      </c>
      <c r="D41" s="102">
        <f>請求書表!G31</f>
        <v>0</v>
      </c>
      <c r="E41" s="103">
        <f>請求書表!J31</f>
        <v>0</v>
      </c>
      <c r="F41" s="75">
        <f>IF(D41="","",ROUND(C41*D41*E41,0))</f>
        <v>0</v>
      </c>
      <c r="G41" s="75"/>
      <c r="H41" s="76">
        <v>1</v>
      </c>
      <c r="I41" s="102">
        <v>1264.42</v>
      </c>
      <c r="J41" s="75">
        <f>IF(I41="","",ROUND(H41*I41*E41,0))</f>
        <v>0</v>
      </c>
      <c r="K41" s="102"/>
      <c r="L41" s="70" t="s">
        <v>91</v>
      </c>
      <c r="M41" s="104" t="s">
        <v>92</v>
      </c>
      <c r="N41" s="71">
        <v>46081</v>
      </c>
    </row>
    <row r="42" spans="2:14" ht="18" customHeight="1">
      <c r="B42" s="72" t="s">
        <v>93</v>
      </c>
      <c r="C42" s="73">
        <f>請求書表!E36</f>
        <v>0</v>
      </c>
      <c r="D42" s="102">
        <f>請求書表!G36</f>
        <v>0</v>
      </c>
      <c r="E42" s="103">
        <f>E41</f>
        <v>0</v>
      </c>
      <c r="F42" s="75">
        <f>IF(D42="","",ROUND(C42*D42*E42,0))</f>
        <v>0</v>
      </c>
      <c r="G42" s="75"/>
      <c r="H42" s="76">
        <f t="shared" ref="H42:H54" si="8">IF(C42="", "", C42)</f>
        <v>0</v>
      </c>
      <c r="I42" s="74"/>
      <c r="J42" s="75" t="str">
        <f t="shared" ref="J42:J49" si="9">IF(I42="","",ROUND(H42*I42,0))</f>
        <v/>
      </c>
      <c r="K42" s="75"/>
      <c r="L42" s="70"/>
      <c r="M42" s="78"/>
      <c r="N42" s="71"/>
    </row>
    <row r="43" spans="2:14" ht="18" customHeight="1">
      <c r="B43" s="72"/>
      <c r="C43" s="73"/>
      <c r="D43" s="74"/>
      <c r="E43" s="74"/>
      <c r="F43" s="75" t="str">
        <f t="shared" ref="F43:F53" si="10">IF(D43="","",ROUND(C43*D43,0))</f>
        <v/>
      </c>
      <c r="G43" s="75"/>
      <c r="H43" s="76" t="str">
        <f t="shared" si="8"/>
        <v/>
      </c>
      <c r="I43" s="74"/>
      <c r="J43" s="75" t="str">
        <f t="shared" si="9"/>
        <v/>
      </c>
      <c r="K43" s="75"/>
      <c r="L43" s="70"/>
      <c r="M43" s="78"/>
      <c r="N43" s="71"/>
    </row>
    <row r="44" spans="2:14" ht="18" customHeight="1">
      <c r="B44" s="72"/>
      <c r="C44" s="73"/>
      <c r="D44" s="74"/>
      <c r="E44" s="74"/>
      <c r="F44" s="75" t="str">
        <f t="shared" si="10"/>
        <v/>
      </c>
      <c r="G44" s="75"/>
      <c r="H44" s="76" t="str">
        <f t="shared" si="8"/>
        <v/>
      </c>
      <c r="I44" s="74"/>
      <c r="J44" s="75" t="str">
        <f t="shared" si="9"/>
        <v/>
      </c>
      <c r="K44" s="75"/>
      <c r="L44" s="70"/>
      <c r="M44" s="78"/>
      <c r="N44" s="71"/>
    </row>
    <row r="45" spans="2:14" ht="18" customHeight="1">
      <c r="B45" s="72"/>
      <c r="C45" s="73"/>
      <c r="D45" s="74"/>
      <c r="E45" s="74"/>
      <c r="F45" s="75" t="str">
        <f t="shared" si="10"/>
        <v/>
      </c>
      <c r="G45" s="75"/>
      <c r="H45" s="76" t="str">
        <f t="shared" si="8"/>
        <v/>
      </c>
      <c r="I45" s="74"/>
      <c r="J45" s="75" t="str">
        <f t="shared" si="9"/>
        <v/>
      </c>
      <c r="K45" s="75"/>
      <c r="L45" s="70"/>
      <c r="M45" s="78"/>
      <c r="N45" s="71"/>
    </row>
    <row r="46" spans="2:14" ht="18" customHeight="1">
      <c r="B46" s="72"/>
      <c r="C46" s="73"/>
      <c r="D46" s="74"/>
      <c r="E46" s="74"/>
      <c r="F46" s="75" t="str">
        <f t="shared" si="10"/>
        <v/>
      </c>
      <c r="G46" s="75"/>
      <c r="H46" s="76" t="str">
        <f t="shared" si="8"/>
        <v/>
      </c>
      <c r="I46" s="74"/>
      <c r="J46" s="75" t="str">
        <f t="shared" si="9"/>
        <v/>
      </c>
      <c r="K46" s="75"/>
      <c r="L46" s="70"/>
      <c r="M46" s="78"/>
      <c r="N46" s="71"/>
    </row>
    <row r="47" spans="2:14" ht="18" customHeight="1">
      <c r="B47" s="72"/>
      <c r="C47" s="73"/>
      <c r="D47" s="74"/>
      <c r="E47" s="74"/>
      <c r="F47" s="75" t="str">
        <f t="shared" si="10"/>
        <v/>
      </c>
      <c r="G47" s="75"/>
      <c r="H47" s="76" t="str">
        <f t="shared" si="8"/>
        <v/>
      </c>
      <c r="I47" s="74"/>
      <c r="J47" s="75" t="str">
        <f t="shared" si="9"/>
        <v/>
      </c>
      <c r="K47" s="75"/>
      <c r="L47" s="70"/>
      <c r="M47" s="78"/>
      <c r="N47" s="71"/>
    </row>
    <row r="48" spans="2:14" ht="18" customHeight="1">
      <c r="B48" s="72"/>
      <c r="C48" s="73"/>
      <c r="D48" s="74"/>
      <c r="E48" s="74"/>
      <c r="F48" s="75" t="str">
        <f t="shared" si="10"/>
        <v/>
      </c>
      <c r="G48" s="75"/>
      <c r="H48" s="76" t="str">
        <f t="shared" si="8"/>
        <v/>
      </c>
      <c r="I48" s="74"/>
      <c r="J48" s="75" t="str">
        <f t="shared" si="9"/>
        <v/>
      </c>
      <c r="K48" s="75"/>
      <c r="L48" s="70"/>
      <c r="M48" s="78"/>
      <c r="N48" s="71"/>
    </row>
    <row r="49" spans="2:14" ht="18" customHeight="1">
      <c r="B49" s="72"/>
      <c r="C49" s="73"/>
      <c r="D49" s="74"/>
      <c r="E49" s="74"/>
      <c r="F49" s="75" t="str">
        <f t="shared" si="10"/>
        <v/>
      </c>
      <c r="G49" s="75"/>
      <c r="H49" s="76" t="str">
        <f t="shared" si="8"/>
        <v/>
      </c>
      <c r="I49" s="74"/>
      <c r="J49" s="75" t="str">
        <f t="shared" si="9"/>
        <v/>
      </c>
      <c r="K49" s="75"/>
      <c r="L49" s="70"/>
      <c r="M49" s="78"/>
      <c r="N49" s="71"/>
    </row>
    <row r="50" spans="2:14" ht="18" customHeight="1">
      <c r="B50" s="72"/>
      <c r="C50" s="73"/>
      <c r="D50" s="74"/>
      <c r="E50" s="74"/>
      <c r="F50" s="75" t="str">
        <f t="shared" si="10"/>
        <v/>
      </c>
      <c r="G50" s="75"/>
      <c r="H50" s="76" t="str">
        <f t="shared" si="8"/>
        <v/>
      </c>
      <c r="I50" s="74"/>
      <c r="J50" s="75" t="str">
        <f>IF(I50="","",ROUND(H50*I50,0))</f>
        <v/>
      </c>
      <c r="K50" s="75"/>
      <c r="L50" s="70"/>
      <c r="M50" s="78"/>
      <c r="N50" s="71"/>
    </row>
    <row r="51" spans="2:14" ht="18" customHeight="1">
      <c r="B51" s="72"/>
      <c r="C51" s="73"/>
      <c r="D51" s="74"/>
      <c r="E51" s="74"/>
      <c r="F51" s="75" t="str">
        <f t="shared" si="10"/>
        <v/>
      </c>
      <c r="G51" s="75"/>
      <c r="H51" s="76" t="str">
        <f t="shared" si="8"/>
        <v/>
      </c>
      <c r="I51" s="74"/>
      <c r="J51" s="75" t="str">
        <f>IF(I51="","",ROUND(H51*I51,0))</f>
        <v/>
      </c>
      <c r="K51" s="75"/>
      <c r="L51" s="70"/>
      <c r="M51" s="78"/>
      <c r="N51" s="71"/>
    </row>
    <row r="52" spans="2:14" ht="18" customHeight="1">
      <c r="B52" s="72"/>
      <c r="C52" s="73"/>
      <c r="D52" s="74"/>
      <c r="E52" s="74"/>
      <c r="F52" s="75" t="str">
        <f t="shared" si="10"/>
        <v/>
      </c>
      <c r="G52" s="75"/>
      <c r="H52" s="76" t="str">
        <f t="shared" si="8"/>
        <v/>
      </c>
      <c r="I52" s="74"/>
      <c r="J52" s="75" t="str">
        <f>IF(I52="","",ROUND(H52*I52,0))</f>
        <v/>
      </c>
      <c r="K52" s="75"/>
      <c r="L52" s="70"/>
      <c r="M52" s="68"/>
      <c r="N52" s="71"/>
    </row>
    <row r="53" spans="2:14" ht="18" customHeight="1" thickBot="1">
      <c r="B53" s="72"/>
      <c r="C53" s="73"/>
      <c r="D53" s="74"/>
      <c r="E53" s="74"/>
      <c r="F53" s="75" t="str">
        <f t="shared" si="10"/>
        <v/>
      </c>
      <c r="G53" s="105"/>
      <c r="H53" s="76" t="str">
        <f t="shared" si="8"/>
        <v/>
      </c>
      <c r="I53" s="74"/>
      <c r="J53" s="75" t="str">
        <f>IF(I53="","",ROUND(H53*I53,0))</f>
        <v/>
      </c>
      <c r="K53" s="106"/>
      <c r="L53" s="70"/>
      <c r="M53" s="68"/>
      <c r="N53" s="71"/>
    </row>
    <row r="54" spans="2:14" ht="18" customHeight="1" thickBot="1">
      <c r="B54" s="81"/>
      <c r="C54" s="82"/>
      <c r="D54" s="83"/>
      <c r="E54" s="84" t="s">
        <v>10</v>
      </c>
      <c r="F54" s="85">
        <f>SUM(F40:F53)</f>
        <v>0</v>
      </c>
      <c r="G54" s="107"/>
      <c r="H54" s="87" t="str">
        <f t="shared" si="8"/>
        <v/>
      </c>
      <c r="I54" s="84" t="s">
        <v>10</v>
      </c>
      <c r="J54" s="85">
        <f>SUM(J40:J53)</f>
        <v>0</v>
      </c>
      <c r="K54" s="107"/>
      <c r="L54" s="89"/>
      <c r="M54" s="90"/>
      <c r="N54" s="91"/>
    </row>
    <row r="55" spans="2:14" ht="18" customHeight="1">
      <c r="B55" s="65" t="s">
        <v>94</v>
      </c>
      <c r="C55" s="73" t="s">
        <v>30</v>
      </c>
      <c r="D55" s="74" t="s">
        <v>66</v>
      </c>
      <c r="E55" s="74"/>
      <c r="F55" s="74" t="s">
        <v>67</v>
      </c>
      <c r="G55" s="75"/>
      <c r="H55" s="65" t="s">
        <v>89</v>
      </c>
      <c r="I55" s="74" t="s">
        <v>81</v>
      </c>
      <c r="J55" s="74" t="s">
        <v>82</v>
      </c>
      <c r="K55" s="75"/>
      <c r="L55" s="70" t="s">
        <v>83</v>
      </c>
      <c r="M55" s="68" t="s">
        <v>2</v>
      </c>
      <c r="N55" s="71" t="s">
        <v>72</v>
      </c>
    </row>
    <row r="56" spans="2:14" ht="18" customHeight="1">
      <c r="B56" s="72"/>
      <c r="C56" s="73"/>
      <c r="D56" s="74"/>
      <c r="E56" s="74"/>
      <c r="F56" s="75" t="str">
        <f>IF(D56="","",ROUND(C56*D56,0))</f>
        <v/>
      </c>
      <c r="G56" s="75"/>
      <c r="H56" s="76" t="str">
        <f t="shared" ref="H56:H69" si="11">IF(C56="", "", C56)</f>
        <v/>
      </c>
      <c r="I56" s="74" t="str">
        <f>IF(D56="","",D56)</f>
        <v/>
      </c>
      <c r="J56" s="75" t="str">
        <f t="shared" ref="J56:J64" si="12">IF(I56="","",ROUND(H56*I56,0))</f>
        <v/>
      </c>
      <c r="K56" s="75"/>
      <c r="L56" s="70"/>
      <c r="M56" s="68"/>
      <c r="N56" s="71"/>
    </row>
    <row r="57" spans="2:14" ht="18" customHeight="1">
      <c r="B57" s="72"/>
      <c r="C57" s="73"/>
      <c r="D57" s="74"/>
      <c r="E57" s="74"/>
      <c r="F57" s="75" t="str">
        <f t="shared" ref="F57:F68" si="13">IF(D57="","",ROUND(C57*D57,0))</f>
        <v/>
      </c>
      <c r="G57" s="75"/>
      <c r="H57" s="76" t="str">
        <f t="shared" si="11"/>
        <v/>
      </c>
      <c r="I57" s="74" t="str">
        <f t="shared" ref="I57:I68" si="14">IF(D57="","",D57)</f>
        <v/>
      </c>
      <c r="J57" s="75" t="str">
        <f t="shared" si="12"/>
        <v/>
      </c>
      <c r="K57" s="75"/>
      <c r="L57" s="70"/>
      <c r="M57" s="68"/>
      <c r="N57" s="71"/>
    </row>
    <row r="58" spans="2:14" ht="18" customHeight="1">
      <c r="B58" s="72"/>
      <c r="C58" s="73"/>
      <c r="D58" s="74"/>
      <c r="E58" s="74"/>
      <c r="F58" s="75" t="str">
        <f t="shared" si="13"/>
        <v/>
      </c>
      <c r="G58" s="75"/>
      <c r="H58" s="76" t="str">
        <f t="shared" si="11"/>
        <v/>
      </c>
      <c r="I58" s="74" t="str">
        <f t="shared" si="14"/>
        <v/>
      </c>
      <c r="J58" s="75" t="str">
        <f t="shared" si="12"/>
        <v/>
      </c>
      <c r="K58" s="75"/>
      <c r="L58" s="70"/>
      <c r="M58" s="78"/>
      <c r="N58" s="71"/>
    </row>
    <row r="59" spans="2:14" ht="18" customHeight="1">
      <c r="B59" s="72"/>
      <c r="C59" s="73"/>
      <c r="D59" s="74"/>
      <c r="E59" s="74"/>
      <c r="F59" s="75" t="str">
        <f t="shared" si="13"/>
        <v/>
      </c>
      <c r="G59" s="75"/>
      <c r="H59" s="76" t="str">
        <f t="shared" si="11"/>
        <v/>
      </c>
      <c r="I59" s="74" t="str">
        <f t="shared" si="14"/>
        <v/>
      </c>
      <c r="J59" s="75" t="str">
        <f t="shared" si="12"/>
        <v/>
      </c>
      <c r="K59" s="75"/>
      <c r="L59" s="70"/>
      <c r="M59" s="78"/>
      <c r="N59" s="71"/>
    </row>
    <row r="60" spans="2:14" ht="18" customHeight="1">
      <c r="B60" s="72"/>
      <c r="C60" s="73"/>
      <c r="D60" s="74"/>
      <c r="E60" s="74"/>
      <c r="F60" s="75" t="str">
        <f t="shared" si="13"/>
        <v/>
      </c>
      <c r="G60" s="75"/>
      <c r="H60" s="76" t="str">
        <f t="shared" si="11"/>
        <v/>
      </c>
      <c r="I60" s="74" t="str">
        <f t="shared" si="14"/>
        <v/>
      </c>
      <c r="J60" s="75" t="str">
        <f t="shared" si="12"/>
        <v/>
      </c>
      <c r="K60" s="75"/>
      <c r="L60" s="70"/>
      <c r="M60" s="78"/>
      <c r="N60" s="71"/>
    </row>
    <row r="61" spans="2:14" ht="18" customHeight="1">
      <c r="B61" s="72"/>
      <c r="C61" s="73"/>
      <c r="D61" s="74"/>
      <c r="E61" s="74"/>
      <c r="F61" s="75" t="str">
        <f t="shared" si="13"/>
        <v/>
      </c>
      <c r="G61" s="75"/>
      <c r="H61" s="76" t="str">
        <f t="shared" si="11"/>
        <v/>
      </c>
      <c r="I61" s="74" t="str">
        <f t="shared" si="14"/>
        <v/>
      </c>
      <c r="J61" s="75" t="str">
        <f t="shared" si="12"/>
        <v/>
      </c>
      <c r="K61" s="75"/>
      <c r="L61" s="70"/>
      <c r="M61" s="78"/>
      <c r="N61" s="71"/>
    </row>
    <row r="62" spans="2:14" ht="18" customHeight="1">
      <c r="B62" s="72"/>
      <c r="C62" s="73"/>
      <c r="D62" s="74"/>
      <c r="E62" s="74"/>
      <c r="F62" s="75" t="str">
        <f t="shared" si="13"/>
        <v/>
      </c>
      <c r="G62" s="75"/>
      <c r="H62" s="76" t="str">
        <f t="shared" si="11"/>
        <v/>
      </c>
      <c r="I62" s="74" t="str">
        <f t="shared" si="14"/>
        <v/>
      </c>
      <c r="J62" s="75" t="str">
        <f t="shared" si="12"/>
        <v/>
      </c>
      <c r="K62" s="75"/>
      <c r="L62" s="70"/>
      <c r="M62" s="78"/>
      <c r="N62" s="71"/>
    </row>
    <row r="63" spans="2:14" ht="18" customHeight="1">
      <c r="B63" s="72"/>
      <c r="C63" s="73"/>
      <c r="D63" s="74"/>
      <c r="E63" s="74"/>
      <c r="F63" s="75" t="str">
        <f t="shared" si="13"/>
        <v/>
      </c>
      <c r="G63" s="75"/>
      <c r="H63" s="76" t="str">
        <f t="shared" si="11"/>
        <v/>
      </c>
      <c r="I63" s="74" t="str">
        <f t="shared" si="14"/>
        <v/>
      </c>
      <c r="J63" s="75" t="str">
        <f t="shared" si="12"/>
        <v/>
      </c>
      <c r="K63" s="75"/>
      <c r="L63" s="70"/>
      <c r="M63" s="78"/>
      <c r="N63" s="71"/>
    </row>
    <row r="64" spans="2:14" ht="18" customHeight="1">
      <c r="B64" s="72"/>
      <c r="C64" s="73"/>
      <c r="D64" s="74"/>
      <c r="E64" s="74"/>
      <c r="F64" s="75" t="str">
        <f t="shared" si="13"/>
        <v/>
      </c>
      <c r="G64" s="75"/>
      <c r="H64" s="76" t="str">
        <f t="shared" si="11"/>
        <v/>
      </c>
      <c r="I64" s="74" t="str">
        <f t="shared" si="14"/>
        <v/>
      </c>
      <c r="J64" s="75" t="str">
        <f t="shared" si="12"/>
        <v/>
      </c>
      <c r="K64" s="75"/>
      <c r="L64" s="70"/>
      <c r="M64" s="78"/>
      <c r="N64" s="71"/>
    </row>
    <row r="65" spans="2:14" ht="18" customHeight="1">
      <c r="B65" s="72"/>
      <c r="C65" s="73"/>
      <c r="D65" s="74"/>
      <c r="E65" s="74"/>
      <c r="F65" s="75" t="str">
        <f t="shared" si="13"/>
        <v/>
      </c>
      <c r="G65" s="75"/>
      <c r="H65" s="76" t="str">
        <f t="shared" si="11"/>
        <v/>
      </c>
      <c r="I65" s="74" t="str">
        <f t="shared" si="14"/>
        <v/>
      </c>
      <c r="J65" s="75" t="str">
        <f>IF(I65="","",ROUND(H65*I65,0))</f>
        <v/>
      </c>
      <c r="K65" s="75"/>
      <c r="L65" s="70"/>
      <c r="M65" s="78"/>
      <c r="N65" s="71"/>
    </row>
    <row r="66" spans="2:14" ht="18" customHeight="1">
      <c r="B66" s="72"/>
      <c r="C66" s="73"/>
      <c r="D66" s="74"/>
      <c r="E66" s="74"/>
      <c r="F66" s="75" t="str">
        <f t="shared" si="13"/>
        <v/>
      </c>
      <c r="G66" s="75"/>
      <c r="H66" s="76" t="str">
        <f t="shared" si="11"/>
        <v/>
      </c>
      <c r="I66" s="74" t="str">
        <f t="shared" si="14"/>
        <v/>
      </c>
      <c r="J66" s="75" t="str">
        <f>IF(I66="","",ROUND(H66*I66,0))</f>
        <v/>
      </c>
      <c r="K66" s="75"/>
      <c r="L66" s="70"/>
      <c r="M66" s="78"/>
      <c r="N66" s="71"/>
    </row>
    <row r="67" spans="2:14" ht="18" customHeight="1">
      <c r="B67" s="72"/>
      <c r="C67" s="73"/>
      <c r="D67" s="74"/>
      <c r="E67" s="74"/>
      <c r="F67" s="75" t="str">
        <f t="shared" si="13"/>
        <v/>
      </c>
      <c r="G67" s="75"/>
      <c r="H67" s="76" t="str">
        <f t="shared" si="11"/>
        <v/>
      </c>
      <c r="I67" s="74" t="str">
        <f t="shared" si="14"/>
        <v/>
      </c>
      <c r="J67" s="75" t="str">
        <f>IF(I67="","",ROUND(H67*I67,0))</f>
        <v/>
      </c>
      <c r="K67" s="75"/>
      <c r="L67" s="70"/>
      <c r="M67" s="68"/>
      <c r="N67" s="71"/>
    </row>
    <row r="68" spans="2:14" ht="18" customHeight="1" thickBot="1">
      <c r="B68" s="72"/>
      <c r="C68" s="73"/>
      <c r="D68" s="74"/>
      <c r="E68" s="74"/>
      <c r="F68" s="75" t="str">
        <f t="shared" si="13"/>
        <v/>
      </c>
      <c r="G68" s="105"/>
      <c r="H68" s="76" t="str">
        <f t="shared" si="11"/>
        <v/>
      </c>
      <c r="I68" s="74" t="str">
        <f t="shared" si="14"/>
        <v/>
      </c>
      <c r="J68" s="75" t="str">
        <f>IF(I68="","",ROUND(H68*I68,0))</f>
        <v/>
      </c>
      <c r="K68" s="106"/>
      <c r="L68" s="70"/>
      <c r="M68" s="68"/>
      <c r="N68" s="71"/>
    </row>
    <row r="69" spans="2:14" ht="18" customHeight="1" thickBot="1">
      <c r="B69" s="81"/>
      <c r="C69" s="82"/>
      <c r="D69" s="83"/>
      <c r="E69" s="84" t="s">
        <v>10</v>
      </c>
      <c r="F69" s="85">
        <f>SUM(F55:F68)</f>
        <v>0</v>
      </c>
      <c r="G69" s="107"/>
      <c r="H69" s="87" t="str">
        <f t="shared" si="11"/>
        <v/>
      </c>
      <c r="I69" s="84" t="s">
        <v>10</v>
      </c>
      <c r="J69" s="85">
        <f>SUM(J55:J68)</f>
        <v>0</v>
      </c>
      <c r="K69" s="107"/>
      <c r="L69" s="89"/>
      <c r="M69" s="90"/>
      <c r="N69" s="91"/>
    </row>
    <row r="70" spans="2:14">
      <c r="N70" s="47"/>
    </row>
    <row r="71" spans="2:14" ht="18" customHeight="1"/>
    <row r="72" spans="2:14" ht="18" customHeight="1"/>
    <row r="73" spans="2:14" ht="18" customHeight="1"/>
  </sheetData>
  <phoneticPr fontId="3"/>
  <pageMargins left="3.937007874015748E-2" right="3.937007874015748E-2" top="0" bottom="0" header="0.11811023622047245" footer="0.31496062992125984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請求書表</vt:lpstr>
      <vt:lpstr>請求書裏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嘉久 矢作</dc:creator>
  <cp:lastModifiedBy>嘉久 矢作</cp:lastModifiedBy>
  <dcterms:created xsi:type="dcterms:W3CDTF">2026-05-11T14:47:27Z</dcterms:created>
  <dcterms:modified xsi:type="dcterms:W3CDTF">2026-05-11T15:45:21Z</dcterms:modified>
</cp:coreProperties>
</file>